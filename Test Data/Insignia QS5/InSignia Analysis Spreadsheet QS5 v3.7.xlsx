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fileSharing readOnlyRecommended="1"/>
  <workbookPr saveExternalLinkValues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Collaborations\_ Product R&amp;D projects\_CT_NG InSignia\Analysis templates\"/>
    </mc:Choice>
  </mc:AlternateContent>
  <xr:revisionPtr revIDLastSave="0" documentId="13_ncr:1_{5676461B-74FE-4180-9D32-1666AD7D4EBF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Instructions for Use" sheetId="14" r:id="rId1"/>
    <sheet name="Data Input" sheetId="11" r:id="rId2"/>
    <sheet name="Cq and Delta Cq" sheetId="12" r:id="rId3"/>
    <sheet name="VITA Index summary" sheetId="5" r:id="rId4"/>
    <sheet name="Results Summary" sheetId="10" r:id="rId5"/>
    <sheet name="Graphs" sheetId="13" r:id="rId6"/>
    <sheet name="Changes to be made" sheetId="1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4" i="12" l="1" a="1"/>
  <c r="G94" i="12" s="1"/>
  <c r="G95" i="12" a="1"/>
  <c r="G95" i="12" s="1"/>
  <c r="G96" i="12" a="1"/>
  <c r="G96" i="12" s="1"/>
  <c r="G97" i="12" a="1"/>
  <c r="G97" i="12" s="1"/>
  <c r="F94" i="12" a="1"/>
  <c r="F94" i="12" s="1"/>
  <c r="F95" i="12" a="1"/>
  <c r="F95" i="12" s="1"/>
  <c r="F96" i="12" a="1"/>
  <c r="F96" i="12" s="1"/>
  <c r="F97" i="12" a="1"/>
  <c r="F97" i="12" s="1"/>
  <c r="E94" i="12" a="1"/>
  <c r="E94" i="12" s="1"/>
  <c r="E95" i="12" a="1"/>
  <c r="E95" i="12" s="1"/>
  <c r="E96" i="12" a="1"/>
  <c r="E96" i="12" s="1"/>
  <c r="E97" i="12" a="1"/>
  <c r="E97" i="12" s="1"/>
  <c r="D94" i="12" a="1"/>
  <c r="D94" i="12" s="1"/>
  <c r="D95" i="12" a="1"/>
  <c r="D95" i="12" s="1"/>
  <c r="D96" i="12" a="1"/>
  <c r="D96" i="12" s="1"/>
  <c r="D97" i="12" a="1"/>
  <c r="D97" i="12" s="1"/>
  <c r="C94" i="12" a="1"/>
  <c r="C94" i="12" s="1"/>
  <c r="C95" i="12" a="1"/>
  <c r="C95" i="12" s="1"/>
  <c r="C96" i="12" a="1"/>
  <c r="C96" i="12" s="1"/>
  <c r="C97" i="12" a="1"/>
  <c r="C97" i="12" s="1"/>
  <c r="O40" i="5"/>
  <c r="T34" i="5"/>
  <c r="O34" i="5"/>
  <c r="T28" i="5"/>
  <c r="O28" i="5"/>
  <c r="T22" i="5"/>
  <c r="O22" i="5"/>
  <c r="T16" i="5"/>
  <c r="O16" i="5"/>
  <c r="I7" i="10" l="1"/>
  <c r="I8" i="10"/>
  <c r="H6" i="5" l="1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5" i="5"/>
  <c r="A94" i="12" l="1"/>
  <c r="B94" i="12"/>
  <c r="B97" i="5" s="1"/>
  <c r="A95" i="12"/>
  <c r="B95" i="12"/>
  <c r="B98" i="5" s="1"/>
  <c r="A96" i="12"/>
  <c r="B96" i="12"/>
  <c r="B99" i="5" s="1"/>
  <c r="A97" i="12"/>
  <c r="A100" i="5" s="1"/>
  <c r="B97" i="12"/>
  <c r="B100" i="5" s="1"/>
  <c r="A82" i="12"/>
  <c r="B82" i="12"/>
  <c r="B85" i="5" s="1"/>
  <c r="A83" i="12"/>
  <c r="B83" i="12"/>
  <c r="B86" i="5" s="1"/>
  <c r="A84" i="12"/>
  <c r="B84" i="12"/>
  <c r="B87" i="5" s="1"/>
  <c r="A85" i="12"/>
  <c r="B85" i="12"/>
  <c r="B88" i="5" s="1"/>
  <c r="A86" i="12"/>
  <c r="B86" i="12"/>
  <c r="B89" i="5" s="1"/>
  <c r="A87" i="12"/>
  <c r="B87" i="12"/>
  <c r="B90" i="5" s="1"/>
  <c r="A88" i="12"/>
  <c r="B88" i="12"/>
  <c r="B91" i="5" s="1"/>
  <c r="A89" i="12"/>
  <c r="B89" i="12"/>
  <c r="B92" i="5" s="1"/>
  <c r="A90" i="12"/>
  <c r="B90" i="12"/>
  <c r="B93" i="5" s="1"/>
  <c r="A91" i="12"/>
  <c r="B91" i="12"/>
  <c r="B94" i="5" s="1"/>
  <c r="A92" i="12"/>
  <c r="B92" i="12"/>
  <c r="B95" i="5" s="1"/>
  <c r="A93" i="12"/>
  <c r="B93" i="12"/>
  <c r="B96" i="5" s="1"/>
  <c r="A61" i="12"/>
  <c r="B61" i="12"/>
  <c r="B64" i="5" s="1"/>
  <c r="A62" i="12"/>
  <c r="B62" i="12"/>
  <c r="B65" i="5" s="1"/>
  <c r="A63" i="12"/>
  <c r="B63" i="12"/>
  <c r="B66" i="5" s="1"/>
  <c r="A64" i="12"/>
  <c r="B64" i="12"/>
  <c r="B67" i="5" s="1"/>
  <c r="A65" i="12"/>
  <c r="B65" i="12"/>
  <c r="B68" i="5" s="1"/>
  <c r="A66" i="12"/>
  <c r="B66" i="12"/>
  <c r="B69" i="5" s="1"/>
  <c r="A67" i="12"/>
  <c r="B67" i="12"/>
  <c r="B70" i="5" s="1"/>
  <c r="A68" i="12"/>
  <c r="B68" i="12"/>
  <c r="B71" i="5" s="1"/>
  <c r="A69" i="12"/>
  <c r="B69" i="12"/>
  <c r="B72" i="5" s="1"/>
  <c r="A70" i="12"/>
  <c r="B70" i="12"/>
  <c r="B73" i="5" s="1"/>
  <c r="A71" i="12"/>
  <c r="B71" i="12"/>
  <c r="B74" i="5" s="1"/>
  <c r="A72" i="12"/>
  <c r="B72" i="12"/>
  <c r="B75" i="5" s="1"/>
  <c r="A73" i="12"/>
  <c r="B73" i="12"/>
  <c r="B76" i="5" s="1"/>
  <c r="A74" i="12"/>
  <c r="B74" i="12"/>
  <c r="B77" i="5" s="1"/>
  <c r="A75" i="12"/>
  <c r="B75" i="12"/>
  <c r="B78" i="5" s="1"/>
  <c r="A76" i="12"/>
  <c r="B76" i="12"/>
  <c r="B79" i="5" s="1"/>
  <c r="A77" i="12"/>
  <c r="B77" i="12"/>
  <c r="B80" i="5" s="1"/>
  <c r="A78" i="12"/>
  <c r="B78" i="12"/>
  <c r="B81" i="5" s="1"/>
  <c r="A79" i="12"/>
  <c r="B79" i="12"/>
  <c r="B82" i="5" s="1"/>
  <c r="A80" i="12"/>
  <c r="B80" i="12"/>
  <c r="B83" i="5" s="1"/>
  <c r="A81" i="12"/>
  <c r="B81" i="12"/>
  <c r="B84" i="5" s="1"/>
  <c r="A37" i="12"/>
  <c r="B37" i="12"/>
  <c r="B40" i="5" s="1"/>
  <c r="A38" i="12"/>
  <c r="B38" i="12"/>
  <c r="B41" i="5" s="1"/>
  <c r="A39" i="12"/>
  <c r="B39" i="12"/>
  <c r="B42" i="5" s="1"/>
  <c r="A40" i="12"/>
  <c r="B40" i="12"/>
  <c r="B43" i="5" s="1"/>
  <c r="A41" i="12"/>
  <c r="B41" i="12"/>
  <c r="B44" i="5" s="1"/>
  <c r="A42" i="12"/>
  <c r="B42" i="12"/>
  <c r="B45" i="5" s="1"/>
  <c r="A43" i="12"/>
  <c r="B43" i="12"/>
  <c r="B46" i="5" s="1"/>
  <c r="A44" i="12"/>
  <c r="B44" i="12"/>
  <c r="B47" i="5" s="1"/>
  <c r="A45" i="12"/>
  <c r="B45" i="12"/>
  <c r="B48" i="5" s="1"/>
  <c r="A46" i="12"/>
  <c r="B46" i="12"/>
  <c r="B49" i="5" s="1"/>
  <c r="A47" i="12"/>
  <c r="B47" i="12"/>
  <c r="B50" i="5" s="1"/>
  <c r="A48" i="12"/>
  <c r="B48" i="12"/>
  <c r="B51" i="5" s="1"/>
  <c r="A49" i="12"/>
  <c r="B49" i="12"/>
  <c r="B52" i="5" s="1"/>
  <c r="A50" i="12"/>
  <c r="B50" i="12"/>
  <c r="B53" i="5" s="1"/>
  <c r="A51" i="12"/>
  <c r="B51" i="12"/>
  <c r="B54" i="5" s="1"/>
  <c r="A52" i="12"/>
  <c r="B52" i="12"/>
  <c r="B55" i="5" s="1"/>
  <c r="A53" i="12"/>
  <c r="B53" i="12"/>
  <c r="B56" i="5" s="1"/>
  <c r="A54" i="12"/>
  <c r="B54" i="12"/>
  <c r="B57" i="5" s="1"/>
  <c r="A55" i="12"/>
  <c r="B55" i="12"/>
  <c r="B58" i="5" s="1"/>
  <c r="A56" i="12"/>
  <c r="B56" i="12"/>
  <c r="B59" i="5" s="1"/>
  <c r="A57" i="12"/>
  <c r="B57" i="12"/>
  <c r="B60" i="5" s="1"/>
  <c r="A58" i="12"/>
  <c r="B58" i="12"/>
  <c r="B61" i="5" s="1"/>
  <c r="A59" i="12"/>
  <c r="B59" i="12"/>
  <c r="B62" i="5" s="1"/>
  <c r="A60" i="12"/>
  <c r="B60" i="12"/>
  <c r="B63" i="5" s="1"/>
  <c r="A2" i="12"/>
  <c r="B2" i="12"/>
  <c r="B5" i="5" s="1"/>
  <c r="A3" i="12"/>
  <c r="B3" i="12"/>
  <c r="B6" i="5" s="1"/>
  <c r="A4" i="12"/>
  <c r="B4" i="12"/>
  <c r="B7" i="5" s="1"/>
  <c r="A5" i="12"/>
  <c r="B5" i="12"/>
  <c r="B8" i="5" s="1"/>
  <c r="A6" i="12"/>
  <c r="B6" i="12"/>
  <c r="B9" i="5" s="1"/>
  <c r="A7" i="12"/>
  <c r="B7" i="12"/>
  <c r="B10" i="5" s="1"/>
  <c r="A8" i="12"/>
  <c r="B8" i="12"/>
  <c r="B11" i="5" s="1"/>
  <c r="A9" i="12"/>
  <c r="B9" i="12"/>
  <c r="B12" i="5" s="1"/>
  <c r="A10" i="12"/>
  <c r="B10" i="12"/>
  <c r="B13" i="5" s="1"/>
  <c r="A11" i="12"/>
  <c r="B11" i="12"/>
  <c r="B14" i="5" s="1"/>
  <c r="A12" i="12"/>
  <c r="B12" i="12"/>
  <c r="B15" i="5" s="1"/>
  <c r="A13" i="12"/>
  <c r="B13" i="12"/>
  <c r="B16" i="5" s="1"/>
  <c r="A14" i="12"/>
  <c r="B14" i="12"/>
  <c r="B17" i="5" s="1"/>
  <c r="A15" i="12"/>
  <c r="B15" i="12"/>
  <c r="B18" i="5" s="1"/>
  <c r="A16" i="12"/>
  <c r="B16" i="12"/>
  <c r="B19" i="5" s="1"/>
  <c r="A17" i="12"/>
  <c r="B17" i="12"/>
  <c r="B20" i="5" s="1"/>
  <c r="A18" i="12"/>
  <c r="B18" i="12"/>
  <c r="B21" i="5" s="1"/>
  <c r="A19" i="12"/>
  <c r="B19" i="12"/>
  <c r="B22" i="5" s="1"/>
  <c r="A20" i="12"/>
  <c r="B20" i="12"/>
  <c r="B23" i="5" s="1"/>
  <c r="A21" i="12"/>
  <c r="B21" i="12"/>
  <c r="B24" i="5" s="1"/>
  <c r="A22" i="12"/>
  <c r="B22" i="12"/>
  <c r="B25" i="5" s="1"/>
  <c r="A23" i="12"/>
  <c r="B23" i="12"/>
  <c r="B26" i="5" s="1"/>
  <c r="A24" i="12"/>
  <c r="B24" i="12"/>
  <c r="B27" i="5" s="1"/>
  <c r="A25" i="12"/>
  <c r="B25" i="12"/>
  <c r="B28" i="5" s="1"/>
  <c r="A26" i="12"/>
  <c r="B26" i="12"/>
  <c r="B29" i="5" s="1"/>
  <c r="A27" i="12"/>
  <c r="B27" i="12"/>
  <c r="B30" i="5" s="1"/>
  <c r="A28" i="12"/>
  <c r="B28" i="12"/>
  <c r="B31" i="5" s="1"/>
  <c r="A29" i="12"/>
  <c r="B29" i="12"/>
  <c r="B32" i="5" s="1"/>
  <c r="A30" i="12"/>
  <c r="B30" i="12"/>
  <c r="B33" i="5" s="1"/>
  <c r="A31" i="12"/>
  <c r="B31" i="12"/>
  <c r="B34" i="5" s="1"/>
  <c r="A32" i="12"/>
  <c r="B32" i="12"/>
  <c r="B35" i="5" s="1"/>
  <c r="A33" i="12"/>
  <c r="B33" i="12"/>
  <c r="B36" i="5" s="1"/>
  <c r="A34" i="12"/>
  <c r="B34" i="12"/>
  <c r="B37" i="5" s="1"/>
  <c r="A35" i="12"/>
  <c r="B35" i="12"/>
  <c r="B38" i="5" s="1"/>
  <c r="A36" i="12"/>
  <c r="B36" i="12"/>
  <c r="B39" i="5" s="1"/>
  <c r="D36" i="12" l="1" a="1"/>
  <c r="D36" i="12" s="1"/>
  <c r="C36" i="12" a="1"/>
  <c r="C36" i="12" s="1"/>
  <c r="E36" i="12" a="1"/>
  <c r="E36" i="12" s="1"/>
  <c r="F36" i="12" a="1"/>
  <c r="F36" i="12" s="1"/>
  <c r="G36" i="12" a="1"/>
  <c r="G36" i="12" s="1"/>
  <c r="E30" i="12" a="1"/>
  <c r="E30" i="12" s="1"/>
  <c r="F30" i="12" a="1"/>
  <c r="F30" i="12" s="1"/>
  <c r="G30" i="12" a="1"/>
  <c r="G30" i="12" s="1"/>
  <c r="D30" i="12" a="1"/>
  <c r="D30" i="12" s="1"/>
  <c r="C30" i="12" a="1"/>
  <c r="C30" i="12" s="1"/>
  <c r="C24" i="12" a="1"/>
  <c r="C24" i="12" s="1"/>
  <c r="E24" i="12" a="1"/>
  <c r="E24" i="12" s="1"/>
  <c r="G24" i="12" a="1"/>
  <c r="G24" i="12" s="1"/>
  <c r="F24" i="12" a="1"/>
  <c r="F24" i="12" s="1"/>
  <c r="D24" i="12" a="1"/>
  <c r="D24" i="12" s="1"/>
  <c r="G18" i="12" a="1"/>
  <c r="G18" i="12" s="1"/>
  <c r="E18" i="12" a="1"/>
  <c r="E18" i="12" s="1"/>
  <c r="C18" i="12" a="1"/>
  <c r="C18" i="12" s="1"/>
  <c r="F18" i="12" a="1"/>
  <c r="F18" i="12" s="1"/>
  <c r="D18" i="12" a="1"/>
  <c r="D18" i="12" s="1"/>
  <c r="E12" i="12" a="1"/>
  <c r="E12" i="12" s="1"/>
  <c r="G12" i="12" a="1"/>
  <c r="G12" i="12" s="1"/>
  <c r="F12" i="12" a="1"/>
  <c r="F12" i="12" s="1"/>
  <c r="D12" i="12" a="1"/>
  <c r="D12" i="12" s="1"/>
  <c r="C12" i="12" a="1"/>
  <c r="C12" i="12" s="1"/>
  <c r="E6" i="12" a="1"/>
  <c r="E6" i="12" s="1"/>
  <c r="D6" i="12" a="1"/>
  <c r="D6" i="12" s="1"/>
  <c r="C6" i="12" a="1"/>
  <c r="C6" i="12" s="1"/>
  <c r="F6" i="12" a="1"/>
  <c r="F6" i="12" s="1"/>
  <c r="G6" i="12" a="1"/>
  <c r="G6" i="12" s="1"/>
  <c r="G59" i="12" a="1"/>
  <c r="G59" i="12" s="1"/>
  <c r="D59" i="12" a="1"/>
  <c r="D59" i="12" s="1"/>
  <c r="F59" i="12" a="1"/>
  <c r="F59" i="12" s="1"/>
  <c r="E59" i="12" a="1"/>
  <c r="E59" i="12" s="1"/>
  <c r="C59" i="12" a="1"/>
  <c r="C59" i="12" s="1"/>
  <c r="E53" i="12" a="1"/>
  <c r="E53" i="12" s="1"/>
  <c r="F53" i="12" a="1"/>
  <c r="F53" i="12" s="1"/>
  <c r="C53" i="12" a="1"/>
  <c r="C53" i="12" s="1"/>
  <c r="G53" i="12" a="1"/>
  <c r="G53" i="12" s="1"/>
  <c r="D53" i="12" a="1"/>
  <c r="D53" i="12" s="1"/>
  <c r="D47" i="12" a="1"/>
  <c r="D47" i="12" s="1"/>
  <c r="F47" i="12" a="1"/>
  <c r="F47" i="12" s="1"/>
  <c r="C47" i="12" a="1"/>
  <c r="C47" i="12" s="1"/>
  <c r="E47" i="12" a="1"/>
  <c r="E47" i="12" s="1"/>
  <c r="G47" i="12" a="1"/>
  <c r="G47" i="12" s="1"/>
  <c r="E41" i="12" a="1"/>
  <c r="E41" i="12" s="1"/>
  <c r="D41" i="12" a="1"/>
  <c r="D41" i="12" s="1"/>
  <c r="E65" i="10" s="1"/>
  <c r="F41" i="12" a="1"/>
  <c r="F41" i="12" s="1"/>
  <c r="G41" i="12" a="1"/>
  <c r="G41" i="12" s="1"/>
  <c r="C41" i="12" a="1"/>
  <c r="C41" i="12" s="1"/>
  <c r="G80" i="12" a="1"/>
  <c r="G80" i="12" s="1"/>
  <c r="D80" i="12" a="1"/>
  <c r="D80" i="12" s="1"/>
  <c r="E80" i="12" a="1"/>
  <c r="E80" i="12" s="1"/>
  <c r="F80" i="12" a="1"/>
  <c r="F80" i="12" s="1"/>
  <c r="C80" i="12" a="1"/>
  <c r="C80" i="12" s="1"/>
  <c r="D74" i="12" a="1"/>
  <c r="D74" i="12" s="1"/>
  <c r="C74" i="12" a="1"/>
  <c r="C74" i="12" s="1"/>
  <c r="G74" i="12" a="1"/>
  <c r="G74" i="12" s="1"/>
  <c r="E74" i="12" a="1"/>
  <c r="E74" i="12" s="1"/>
  <c r="F74" i="12" a="1"/>
  <c r="F74" i="12" s="1"/>
  <c r="D68" i="12" a="1"/>
  <c r="D68" i="12" s="1"/>
  <c r="C68" i="12" a="1"/>
  <c r="C68" i="12" s="1"/>
  <c r="E68" i="12" a="1"/>
  <c r="E68" i="12" s="1"/>
  <c r="F68" i="12" a="1"/>
  <c r="F68" i="12" s="1"/>
  <c r="G68" i="12" a="1"/>
  <c r="G68" i="12" s="1"/>
  <c r="C62" i="12" a="1"/>
  <c r="C62" i="12" s="1"/>
  <c r="G62" i="12" a="1"/>
  <c r="G62" i="12" s="1"/>
  <c r="D62" i="12" a="1"/>
  <c r="D62" i="12" s="1"/>
  <c r="E62" i="12" a="1"/>
  <c r="E62" i="12" s="1"/>
  <c r="F62" i="12" a="1"/>
  <c r="F62" i="12" s="1"/>
  <c r="G89" i="12" a="1"/>
  <c r="G89" i="12" s="1"/>
  <c r="E89" i="12" a="1"/>
  <c r="E89" i="12" s="1"/>
  <c r="F89" i="12" a="1"/>
  <c r="F89" i="12" s="1"/>
  <c r="C89" i="12" a="1"/>
  <c r="C89" i="12" s="1"/>
  <c r="D89" i="12" a="1"/>
  <c r="D89" i="12" s="1"/>
  <c r="F83" i="12" a="1"/>
  <c r="F83" i="12" s="1"/>
  <c r="C83" i="12" a="1"/>
  <c r="C83" i="12" s="1"/>
  <c r="D83" i="12" a="1"/>
  <c r="D83" i="12" s="1"/>
  <c r="G83" i="12" a="1"/>
  <c r="G83" i="12" s="1"/>
  <c r="E83" i="12" a="1"/>
  <c r="E83" i="12" s="1"/>
  <c r="C35" i="12" a="1"/>
  <c r="C35" i="12" s="1"/>
  <c r="F35" i="12" a="1"/>
  <c r="F35" i="12" s="1"/>
  <c r="E35" i="12" a="1"/>
  <c r="E35" i="12" s="1"/>
  <c r="G35" i="12" a="1"/>
  <c r="G35" i="12" s="1"/>
  <c r="D35" i="12" a="1"/>
  <c r="D35" i="12" s="1"/>
  <c r="E29" i="12" a="1"/>
  <c r="E29" i="12" s="1"/>
  <c r="F29" i="12" a="1"/>
  <c r="F29" i="12" s="1"/>
  <c r="G29" i="12" a="1"/>
  <c r="G29" i="12" s="1"/>
  <c r="D29" i="12" a="1"/>
  <c r="D29" i="12" s="1"/>
  <c r="C29" i="12" a="1"/>
  <c r="C29" i="12" s="1"/>
  <c r="C23" i="12" a="1"/>
  <c r="C23" i="12" s="1"/>
  <c r="F23" i="12" a="1"/>
  <c r="F23" i="12" s="1"/>
  <c r="E23" i="12" a="1"/>
  <c r="E23" i="12" s="1"/>
  <c r="G23" i="12" a="1"/>
  <c r="G23" i="12" s="1"/>
  <c r="D23" i="12" a="1"/>
  <c r="D23" i="12" s="1"/>
  <c r="E47" i="10" s="1"/>
  <c r="G17" i="12" a="1"/>
  <c r="G17" i="12" s="1"/>
  <c r="E17" i="12" a="1"/>
  <c r="E17" i="12" s="1"/>
  <c r="F17" i="12" a="1"/>
  <c r="F17" i="12" s="1"/>
  <c r="C17" i="12" a="1"/>
  <c r="C17" i="12" s="1"/>
  <c r="D17" i="12" a="1"/>
  <c r="D17" i="12" s="1"/>
  <c r="C11" i="12" a="1"/>
  <c r="C11" i="12" s="1"/>
  <c r="F11" i="12" a="1"/>
  <c r="F11" i="12" s="1"/>
  <c r="G11" i="12" a="1"/>
  <c r="G11" i="12" s="1"/>
  <c r="E11" i="12" a="1"/>
  <c r="E11" i="12" s="1"/>
  <c r="D11" i="12" a="1"/>
  <c r="D11" i="12" s="1"/>
  <c r="E5" i="12" a="1"/>
  <c r="E5" i="12" s="1"/>
  <c r="D5" i="12" a="1"/>
  <c r="D5" i="12" s="1"/>
  <c r="E29" i="10" s="1"/>
  <c r="C5" i="12" a="1"/>
  <c r="C5" i="12" s="1"/>
  <c r="F5" i="12" a="1"/>
  <c r="F5" i="12" s="1"/>
  <c r="G5" i="12" a="1"/>
  <c r="G5" i="12" s="1"/>
  <c r="G58" i="12" a="1"/>
  <c r="G58" i="12" s="1"/>
  <c r="D58" i="12" a="1"/>
  <c r="D58" i="12" s="1"/>
  <c r="E58" i="12" a="1"/>
  <c r="E58" i="12" s="1"/>
  <c r="F58" i="12" a="1"/>
  <c r="F58" i="12" s="1"/>
  <c r="C58" i="12" a="1"/>
  <c r="C58" i="12" s="1"/>
  <c r="F52" i="12" a="1"/>
  <c r="F52" i="12" s="1"/>
  <c r="C52" i="12" a="1"/>
  <c r="C52" i="12" s="1"/>
  <c r="D52" i="12" a="1"/>
  <c r="D52" i="12" s="1"/>
  <c r="G52" i="12" a="1"/>
  <c r="G52" i="12" s="1"/>
  <c r="J52" i="12" s="1"/>
  <c r="E52" i="12" a="1"/>
  <c r="E52" i="12" s="1"/>
  <c r="D46" i="12" a="1"/>
  <c r="D46" i="12" s="1"/>
  <c r="C46" i="12" a="1"/>
  <c r="C46" i="12" s="1"/>
  <c r="E46" i="12" a="1"/>
  <c r="E46" i="12" s="1"/>
  <c r="F46" i="12" a="1"/>
  <c r="F46" i="12" s="1"/>
  <c r="G46" i="12" a="1"/>
  <c r="G46" i="12" s="1"/>
  <c r="F40" i="12" a="1"/>
  <c r="F40" i="12" s="1"/>
  <c r="D40" i="12" a="1"/>
  <c r="D40" i="12" s="1"/>
  <c r="G40" i="12" a="1"/>
  <c r="G40" i="12" s="1"/>
  <c r="C40" i="12" a="1"/>
  <c r="C40" i="12" s="1"/>
  <c r="E40" i="12" a="1"/>
  <c r="E40" i="12" s="1"/>
  <c r="G79" i="12" a="1"/>
  <c r="G79" i="12" s="1"/>
  <c r="H103" i="10" s="1"/>
  <c r="D79" i="12" a="1"/>
  <c r="D79" i="12" s="1"/>
  <c r="E79" i="12" a="1"/>
  <c r="E79" i="12" s="1"/>
  <c r="F79" i="12" a="1"/>
  <c r="F79" i="12" s="1"/>
  <c r="C79" i="12" a="1"/>
  <c r="C79" i="12" s="1"/>
  <c r="C73" i="12" a="1"/>
  <c r="C73" i="12" s="1"/>
  <c r="D73" i="12" a="1"/>
  <c r="D73" i="12" s="1"/>
  <c r="G73" i="12" a="1"/>
  <c r="G73" i="12" s="1"/>
  <c r="E73" i="12" a="1"/>
  <c r="E73" i="12" s="1"/>
  <c r="F73" i="12" a="1"/>
  <c r="F73" i="12" s="1"/>
  <c r="C67" i="12" a="1"/>
  <c r="C67" i="12" s="1"/>
  <c r="E67" i="12" a="1"/>
  <c r="E67" i="12" s="1"/>
  <c r="F67" i="12" a="1"/>
  <c r="F67" i="12" s="1"/>
  <c r="G67" i="12" a="1"/>
  <c r="G67" i="12" s="1"/>
  <c r="D67" i="12" a="1"/>
  <c r="D67" i="12" s="1"/>
  <c r="C61" i="12" a="1"/>
  <c r="C61" i="12" s="1"/>
  <c r="G61" i="12" a="1"/>
  <c r="G61" i="12" s="1"/>
  <c r="D61" i="12" a="1"/>
  <c r="D61" i="12" s="1"/>
  <c r="E61" i="12" a="1"/>
  <c r="E61" i="12" s="1"/>
  <c r="F61" i="12" a="1"/>
  <c r="F61" i="12" s="1"/>
  <c r="F88" i="12" a="1"/>
  <c r="F88" i="12" s="1"/>
  <c r="C88" i="12" a="1"/>
  <c r="C88" i="12" s="1"/>
  <c r="D88" i="12" a="1"/>
  <c r="D88" i="12" s="1"/>
  <c r="E88" i="12" a="1"/>
  <c r="E88" i="12" s="1"/>
  <c r="G88" i="12" a="1"/>
  <c r="G88" i="12" s="1"/>
  <c r="H112" i="10" s="1"/>
  <c r="C82" i="12" a="1"/>
  <c r="C82" i="12" s="1"/>
  <c r="D82" i="12" a="1"/>
  <c r="D82" i="12" s="1"/>
  <c r="G82" i="12" a="1"/>
  <c r="G82" i="12" s="1"/>
  <c r="E82" i="12" a="1"/>
  <c r="E82" i="12" s="1"/>
  <c r="F82" i="12" a="1"/>
  <c r="F82" i="12" s="1"/>
  <c r="C34" i="12" a="1"/>
  <c r="C34" i="12" s="1"/>
  <c r="E34" i="12" a="1"/>
  <c r="E34" i="12" s="1"/>
  <c r="F34" i="12" a="1"/>
  <c r="F34" i="12" s="1"/>
  <c r="G34" i="12" a="1"/>
  <c r="G34" i="12" s="1"/>
  <c r="D34" i="12" a="1"/>
  <c r="D34" i="12" s="1"/>
  <c r="F28" i="12" a="1"/>
  <c r="F28" i="12" s="1"/>
  <c r="G28" i="12" a="1"/>
  <c r="G28" i="12" s="1"/>
  <c r="H52" i="10" s="1"/>
  <c r="D28" i="12" a="1"/>
  <c r="D28" i="12" s="1"/>
  <c r="C28" i="12" a="1"/>
  <c r="C28" i="12" s="1"/>
  <c r="E28" i="12" a="1"/>
  <c r="E28" i="12" s="1"/>
  <c r="E22" i="12" a="1"/>
  <c r="E22" i="12" s="1"/>
  <c r="G22" i="12" a="1"/>
  <c r="G22" i="12" s="1"/>
  <c r="F22" i="12" a="1"/>
  <c r="F22" i="12" s="1"/>
  <c r="D22" i="12" a="1"/>
  <c r="D22" i="12" s="1"/>
  <c r="C22" i="12" a="1"/>
  <c r="C22" i="12" s="1"/>
  <c r="F16" i="12" a="1"/>
  <c r="F16" i="12" s="1"/>
  <c r="D16" i="12" a="1"/>
  <c r="D16" i="12" s="1"/>
  <c r="C16" i="12" a="1"/>
  <c r="C16" i="12" s="1"/>
  <c r="G16" i="12" a="1"/>
  <c r="G16" i="12" s="1"/>
  <c r="H40" i="10" s="1"/>
  <c r="E16" i="12" a="1"/>
  <c r="E16" i="12" s="1"/>
  <c r="D10" i="12" a="1"/>
  <c r="D10" i="12" s="1"/>
  <c r="C10" i="12" a="1"/>
  <c r="C10" i="12" s="1"/>
  <c r="G10" i="12" a="1"/>
  <c r="G10" i="12" s="1"/>
  <c r="E10" i="12" a="1"/>
  <c r="E10" i="12" s="1"/>
  <c r="F10" i="12" a="1"/>
  <c r="F10" i="12" s="1"/>
  <c r="F4" i="12" a="1"/>
  <c r="F4" i="12" s="1"/>
  <c r="G4" i="12" a="1"/>
  <c r="G4" i="12" s="1"/>
  <c r="E4" i="12" a="1"/>
  <c r="E4" i="12" s="1"/>
  <c r="D4" i="12" a="1"/>
  <c r="D4" i="12" s="1"/>
  <c r="C4" i="12" a="1"/>
  <c r="C4" i="12" s="1"/>
  <c r="D57" i="12" a="1"/>
  <c r="D57" i="12" s="1"/>
  <c r="I57" i="12" s="1"/>
  <c r="C57" i="12" a="1"/>
  <c r="C57" i="12" s="1"/>
  <c r="E57" i="12" a="1"/>
  <c r="E57" i="12" s="1"/>
  <c r="F57" i="12" a="1"/>
  <c r="F57" i="12" s="1"/>
  <c r="G57" i="12" a="1"/>
  <c r="G57" i="12" s="1"/>
  <c r="C51" i="12" a="1"/>
  <c r="C51" i="12" s="1"/>
  <c r="G51" i="12" a="1"/>
  <c r="G51" i="12" s="1"/>
  <c r="D51" i="12" a="1"/>
  <c r="D51" i="12" s="1"/>
  <c r="E51" i="12" a="1"/>
  <c r="E51" i="12" s="1"/>
  <c r="F51" i="12" a="1"/>
  <c r="F51" i="12" s="1"/>
  <c r="C45" i="12" a="1"/>
  <c r="C45" i="12" s="1"/>
  <c r="E45" i="12" a="1"/>
  <c r="E45" i="12" s="1"/>
  <c r="F45" i="12" a="1"/>
  <c r="F45" i="12" s="1"/>
  <c r="G45" i="12" a="1"/>
  <c r="G45" i="12" s="1"/>
  <c r="D45" i="12" a="1"/>
  <c r="D45" i="12" s="1"/>
  <c r="G39" i="12" a="1"/>
  <c r="G39" i="12" s="1"/>
  <c r="D39" i="12" a="1"/>
  <c r="D39" i="12" s="1"/>
  <c r="C39" i="12" a="1"/>
  <c r="C39" i="12" s="1"/>
  <c r="E39" i="12" a="1"/>
  <c r="E39" i="12" s="1"/>
  <c r="F39" i="12" a="1"/>
  <c r="F39" i="12" s="1"/>
  <c r="E78" i="12" a="1"/>
  <c r="E78" i="12" s="1"/>
  <c r="F78" i="12" a="1"/>
  <c r="F78" i="12" s="1"/>
  <c r="C78" i="12" a="1"/>
  <c r="C78" i="12" s="1"/>
  <c r="G78" i="12" a="1"/>
  <c r="G78" i="12" s="1"/>
  <c r="D78" i="12" a="1"/>
  <c r="D78" i="12" s="1"/>
  <c r="E102" i="10" s="1"/>
  <c r="C72" i="12" a="1"/>
  <c r="C72" i="12" s="1"/>
  <c r="G72" i="12" a="1"/>
  <c r="G72" i="12" s="1"/>
  <c r="D72" i="12" a="1"/>
  <c r="D72" i="12" s="1"/>
  <c r="E72" i="12" a="1"/>
  <c r="E72" i="12" s="1"/>
  <c r="F72" i="12" a="1"/>
  <c r="F72" i="12" s="1"/>
  <c r="E66" i="12" a="1"/>
  <c r="E66" i="12" s="1"/>
  <c r="C66" i="12" a="1"/>
  <c r="C66" i="12" s="1"/>
  <c r="F66" i="12" a="1"/>
  <c r="F66" i="12" s="1"/>
  <c r="G66" i="12" a="1"/>
  <c r="G66" i="12" s="1"/>
  <c r="D66" i="12" a="1"/>
  <c r="D66" i="12" s="1"/>
  <c r="C93" i="12" a="1"/>
  <c r="C93" i="12" s="1"/>
  <c r="D93" i="12" a="1"/>
  <c r="D93" i="12" s="1"/>
  <c r="E117" i="10" s="1"/>
  <c r="G93" i="12" a="1"/>
  <c r="G93" i="12" s="1"/>
  <c r="E93" i="12" a="1"/>
  <c r="E93" i="12" s="1"/>
  <c r="F93" i="12" a="1"/>
  <c r="F93" i="12" s="1"/>
  <c r="C87" i="12" a="1"/>
  <c r="C87" i="12" s="1"/>
  <c r="D87" i="12" a="1"/>
  <c r="D87" i="12" s="1"/>
  <c r="G87" i="12" a="1"/>
  <c r="G87" i="12" s="1"/>
  <c r="E87" i="12" a="1"/>
  <c r="E87" i="12" s="1"/>
  <c r="F87" i="12" a="1"/>
  <c r="F87" i="12" s="1"/>
  <c r="C33" i="12" a="1"/>
  <c r="C33" i="12" s="1"/>
  <c r="E33" i="12" a="1"/>
  <c r="E33" i="12" s="1"/>
  <c r="F33" i="12" a="1"/>
  <c r="F33" i="12" s="1"/>
  <c r="G33" i="12" a="1"/>
  <c r="G33" i="12" s="1"/>
  <c r="H57" i="10" s="1"/>
  <c r="D33" i="12" a="1"/>
  <c r="D33" i="12" s="1"/>
  <c r="D27" i="12" a="1"/>
  <c r="D27" i="12" s="1"/>
  <c r="C27" i="12" a="1"/>
  <c r="C27" i="12" s="1"/>
  <c r="E27" i="12" a="1"/>
  <c r="E27" i="12" s="1"/>
  <c r="G27" i="12" a="1"/>
  <c r="G27" i="12" s="1"/>
  <c r="F27" i="12" a="1"/>
  <c r="F27" i="12" s="1"/>
  <c r="G21" i="12" a="1"/>
  <c r="G21" i="12" s="1"/>
  <c r="E21" i="12" a="1"/>
  <c r="E21" i="12" s="1"/>
  <c r="D21" i="12" a="1"/>
  <c r="D21" i="12" s="1"/>
  <c r="F21" i="12" a="1"/>
  <c r="F21" i="12" s="1"/>
  <c r="C21" i="12" a="1"/>
  <c r="C21" i="12" s="1"/>
  <c r="I21" i="12" s="1"/>
  <c r="C15" i="12" a="1"/>
  <c r="C15" i="12" s="1"/>
  <c r="G15" i="12" a="1"/>
  <c r="G15" i="12" s="1"/>
  <c r="E15" i="12" a="1"/>
  <c r="E15" i="12" s="1"/>
  <c r="F15" i="12" a="1"/>
  <c r="F15" i="12" s="1"/>
  <c r="D15" i="12" a="1"/>
  <c r="D15" i="12" s="1"/>
  <c r="G9" i="12" a="1"/>
  <c r="G9" i="12" s="1"/>
  <c r="E9" i="12" a="1"/>
  <c r="E9" i="12" s="1"/>
  <c r="D9" i="12" a="1"/>
  <c r="D9" i="12" s="1"/>
  <c r="C9" i="12" a="1"/>
  <c r="C9" i="12" s="1"/>
  <c r="F9" i="12" a="1"/>
  <c r="F9" i="12" s="1"/>
  <c r="D3" i="12" a="1"/>
  <c r="D3" i="12" s="1"/>
  <c r="G3" i="12" a="1"/>
  <c r="G3" i="12" s="1"/>
  <c r="E3" i="12" a="1"/>
  <c r="E3" i="12" s="1"/>
  <c r="C3" i="12" a="1"/>
  <c r="C3" i="12" s="1"/>
  <c r="F3" i="12" a="1"/>
  <c r="F3" i="12" s="1"/>
  <c r="E56" i="12" a="1"/>
  <c r="E56" i="12" s="1"/>
  <c r="C56" i="12" a="1"/>
  <c r="C56" i="12" s="1"/>
  <c r="F56" i="12" a="1"/>
  <c r="F56" i="12" s="1"/>
  <c r="G56" i="12" a="1"/>
  <c r="G56" i="12" s="1"/>
  <c r="D56" i="12" a="1"/>
  <c r="D56" i="12" s="1"/>
  <c r="G50" i="12" a="1"/>
  <c r="G50" i="12" s="1"/>
  <c r="C50" i="12" a="1"/>
  <c r="C50" i="12" s="1"/>
  <c r="D50" i="12" a="1"/>
  <c r="D50" i="12" s="1"/>
  <c r="E50" i="12" a="1"/>
  <c r="E50" i="12" s="1"/>
  <c r="F50" i="12" a="1"/>
  <c r="F50" i="12" s="1"/>
  <c r="C44" i="12" a="1"/>
  <c r="C44" i="12" s="1"/>
  <c r="E44" i="12" a="1"/>
  <c r="E44" i="12" s="1"/>
  <c r="G44" i="12" a="1"/>
  <c r="G44" i="12" s="1"/>
  <c r="F44" i="12" a="1"/>
  <c r="F44" i="12" s="1"/>
  <c r="D44" i="12" a="1"/>
  <c r="D44" i="12" s="1"/>
  <c r="G38" i="12" a="1"/>
  <c r="G38" i="12" s="1"/>
  <c r="D38" i="12" a="1"/>
  <c r="D38" i="12" s="1"/>
  <c r="C38" i="12" a="1"/>
  <c r="C38" i="12" s="1"/>
  <c r="E38" i="12" a="1"/>
  <c r="E38" i="12" s="1"/>
  <c r="F38" i="12" a="1"/>
  <c r="F38" i="12" s="1"/>
  <c r="E77" i="12" a="1"/>
  <c r="E77" i="12" s="1"/>
  <c r="F77" i="12" a="1"/>
  <c r="F77" i="12" s="1"/>
  <c r="C77" i="12" a="1"/>
  <c r="C77" i="12" s="1"/>
  <c r="G77" i="12" a="1"/>
  <c r="G77" i="12" s="1"/>
  <c r="D77" i="12" a="1"/>
  <c r="D77" i="12" s="1"/>
  <c r="C71" i="12" a="1"/>
  <c r="C71" i="12" s="1"/>
  <c r="G71" i="12" a="1"/>
  <c r="G71" i="12" s="1"/>
  <c r="D71" i="12" a="1"/>
  <c r="D71" i="12" s="1"/>
  <c r="F71" i="12" a="1"/>
  <c r="F71" i="12" s="1"/>
  <c r="E71" i="12" a="1"/>
  <c r="E71" i="12" s="1"/>
  <c r="E65" i="12" a="1"/>
  <c r="E65" i="12" s="1"/>
  <c r="F65" i="12" a="1"/>
  <c r="F65" i="12" s="1"/>
  <c r="C65" i="12" a="1"/>
  <c r="C65" i="12" s="1"/>
  <c r="G65" i="12" a="1"/>
  <c r="G65" i="12" s="1"/>
  <c r="H89" i="10" s="1"/>
  <c r="D65" i="12" a="1"/>
  <c r="D65" i="12" s="1"/>
  <c r="D92" i="12" a="1"/>
  <c r="D92" i="12" s="1"/>
  <c r="G92" i="12" a="1"/>
  <c r="G92" i="12" s="1"/>
  <c r="E92" i="12" a="1"/>
  <c r="E92" i="12" s="1"/>
  <c r="F92" i="12" a="1"/>
  <c r="F92" i="12" s="1"/>
  <c r="C92" i="12" a="1"/>
  <c r="C92" i="12" s="1"/>
  <c r="C86" i="12" a="1"/>
  <c r="C86" i="12" s="1"/>
  <c r="D86" i="12" a="1"/>
  <c r="D86" i="12" s="1"/>
  <c r="G86" i="12" a="1"/>
  <c r="G86" i="12" s="1"/>
  <c r="E86" i="12" a="1"/>
  <c r="E86" i="12" s="1"/>
  <c r="F86" i="12" a="1"/>
  <c r="F86" i="12" s="1"/>
  <c r="D32" i="12" a="1"/>
  <c r="D32" i="12" s="1"/>
  <c r="E32" i="12" a="1"/>
  <c r="E32" i="12" s="1"/>
  <c r="F32" i="12" a="1"/>
  <c r="F32" i="12" s="1"/>
  <c r="G32" i="12" a="1"/>
  <c r="G32" i="12" s="1"/>
  <c r="C32" i="12" a="1"/>
  <c r="C32" i="12" s="1"/>
  <c r="D26" i="12" a="1"/>
  <c r="D26" i="12" s="1"/>
  <c r="C26" i="12" a="1"/>
  <c r="C26" i="12" s="1"/>
  <c r="E26" i="12" a="1"/>
  <c r="E26" i="12" s="1"/>
  <c r="G26" i="12" a="1"/>
  <c r="G26" i="12" s="1"/>
  <c r="F26" i="12" a="1"/>
  <c r="F26" i="12" s="1"/>
  <c r="C20" i="12" a="1"/>
  <c r="C20" i="12" s="1"/>
  <c r="G20" i="12" a="1"/>
  <c r="G20" i="12" s="1"/>
  <c r="E20" i="12" a="1"/>
  <c r="E20" i="12" s="1"/>
  <c r="F20" i="12" a="1"/>
  <c r="F20" i="12" s="1"/>
  <c r="D20" i="12" a="1"/>
  <c r="D20" i="12" s="1"/>
  <c r="C14" i="12" a="1"/>
  <c r="C14" i="12" s="1"/>
  <c r="G14" i="12" a="1"/>
  <c r="G14" i="12" s="1"/>
  <c r="H38" i="10" s="1"/>
  <c r="E14" i="12" a="1"/>
  <c r="E14" i="12" s="1"/>
  <c r="F14" i="12" a="1"/>
  <c r="F14" i="12" s="1"/>
  <c r="D14" i="12" a="1"/>
  <c r="D14" i="12" s="1"/>
  <c r="G8" i="12" a="1"/>
  <c r="G8" i="12" s="1"/>
  <c r="C8" i="12" a="1"/>
  <c r="C8" i="12" s="1"/>
  <c r="E8" i="12" a="1"/>
  <c r="E8" i="12" s="1"/>
  <c r="D8" i="12" a="1"/>
  <c r="D8" i="12" s="1"/>
  <c r="F8" i="12" a="1"/>
  <c r="F8" i="12" s="1"/>
  <c r="D2" i="12" a="1"/>
  <c r="D2" i="12" s="1"/>
  <c r="G2" i="12" a="1"/>
  <c r="G2" i="12" s="1"/>
  <c r="E2" i="12" a="1"/>
  <c r="E2" i="12" s="1"/>
  <c r="C2" i="12" a="1"/>
  <c r="C2" i="12" s="1"/>
  <c r="F2" i="12" a="1"/>
  <c r="F2" i="12" s="1"/>
  <c r="E55" i="12" a="1"/>
  <c r="E55" i="12" s="1"/>
  <c r="F55" i="12" a="1"/>
  <c r="F55" i="12" s="1"/>
  <c r="C55" i="12" a="1"/>
  <c r="C55" i="12" s="1"/>
  <c r="G55" i="12" a="1"/>
  <c r="G55" i="12" s="1"/>
  <c r="D55" i="12" a="1"/>
  <c r="D55" i="12" s="1"/>
  <c r="G49" i="12" a="1"/>
  <c r="G49" i="12" s="1"/>
  <c r="D49" i="12" a="1"/>
  <c r="D49" i="12" s="1"/>
  <c r="E73" i="10" s="1"/>
  <c r="E49" i="12" a="1"/>
  <c r="E49" i="12" s="1"/>
  <c r="F49" i="12" a="1"/>
  <c r="F49" i="12" s="1"/>
  <c r="C49" i="12" a="1"/>
  <c r="C49" i="12" s="1"/>
  <c r="C43" i="12" a="1"/>
  <c r="C43" i="12" s="1"/>
  <c r="E43" i="12" a="1"/>
  <c r="E43" i="12" s="1"/>
  <c r="F43" i="12" a="1"/>
  <c r="F43" i="12" s="1"/>
  <c r="G43" i="12" a="1"/>
  <c r="G43" i="12" s="1"/>
  <c r="D43" i="12" a="1"/>
  <c r="D43" i="12" s="1"/>
  <c r="D37" i="12" a="1"/>
  <c r="D37" i="12" s="1"/>
  <c r="C37" i="12" a="1"/>
  <c r="C37" i="12" s="1"/>
  <c r="E37" i="12" a="1"/>
  <c r="E37" i="12" s="1"/>
  <c r="F37" i="12" a="1"/>
  <c r="F37" i="12" s="1"/>
  <c r="G37" i="12" a="1"/>
  <c r="G37" i="12" s="1"/>
  <c r="F76" i="12" a="1"/>
  <c r="F76" i="12" s="1"/>
  <c r="C76" i="12" a="1"/>
  <c r="C76" i="12" s="1"/>
  <c r="G76" i="12" a="1"/>
  <c r="G76" i="12" s="1"/>
  <c r="H100" i="10" s="1"/>
  <c r="D76" i="12" a="1"/>
  <c r="D76" i="12" s="1"/>
  <c r="E76" i="12" a="1"/>
  <c r="E76" i="12" s="1"/>
  <c r="G70" i="12" a="1"/>
  <c r="G70" i="12" s="1"/>
  <c r="D70" i="12" a="1"/>
  <c r="D70" i="12" s="1"/>
  <c r="E70" i="12" a="1"/>
  <c r="E70" i="12" s="1"/>
  <c r="F70" i="12" a="1"/>
  <c r="F70" i="12" s="1"/>
  <c r="C70" i="12" a="1"/>
  <c r="C70" i="12" s="1"/>
  <c r="F64" i="12" a="1"/>
  <c r="F64" i="12" s="1"/>
  <c r="C64" i="12" a="1"/>
  <c r="C64" i="12" s="1"/>
  <c r="G64" i="12" a="1"/>
  <c r="G64" i="12" s="1"/>
  <c r="D64" i="12" a="1"/>
  <c r="D64" i="12" s="1"/>
  <c r="E64" i="12" a="1"/>
  <c r="E64" i="12" s="1"/>
  <c r="D91" i="12" a="1"/>
  <c r="D91" i="12" s="1"/>
  <c r="G91" i="12" a="1"/>
  <c r="G91" i="12" s="1"/>
  <c r="E91" i="12" a="1"/>
  <c r="E91" i="12" s="1"/>
  <c r="F91" i="12" a="1"/>
  <c r="F91" i="12" s="1"/>
  <c r="C91" i="12" a="1"/>
  <c r="C91" i="12" s="1"/>
  <c r="C85" i="12" a="1"/>
  <c r="C85" i="12" s="1"/>
  <c r="D85" i="12" a="1"/>
  <c r="D85" i="12" s="1"/>
  <c r="G85" i="12" a="1"/>
  <c r="G85" i="12" s="1"/>
  <c r="H109" i="10" s="1"/>
  <c r="E85" i="12" a="1"/>
  <c r="E85" i="12" s="1"/>
  <c r="F85" i="12" a="1"/>
  <c r="F85" i="12" s="1"/>
  <c r="D31" i="12" a="1"/>
  <c r="D31" i="12" s="1"/>
  <c r="E55" i="10" s="1"/>
  <c r="E31" i="12" a="1"/>
  <c r="E31" i="12" s="1"/>
  <c r="F31" i="12" a="1"/>
  <c r="F31" i="12" s="1"/>
  <c r="G31" i="12" a="1"/>
  <c r="G31" i="12" s="1"/>
  <c r="C31" i="12" a="1"/>
  <c r="C31" i="12" s="1"/>
  <c r="C25" i="12" a="1"/>
  <c r="C25" i="12" s="1"/>
  <c r="E25" i="12" a="1"/>
  <c r="E25" i="12" s="1"/>
  <c r="G25" i="12" a="1"/>
  <c r="G25" i="12" s="1"/>
  <c r="F25" i="12" a="1"/>
  <c r="F25" i="12" s="1"/>
  <c r="D25" i="12" a="1"/>
  <c r="D25" i="12" s="1"/>
  <c r="E49" i="10" s="1"/>
  <c r="G19" i="12" a="1"/>
  <c r="G19" i="12" s="1"/>
  <c r="E19" i="12" a="1"/>
  <c r="E19" i="12" s="1"/>
  <c r="F19" i="12" a="1"/>
  <c r="F19" i="12" s="1"/>
  <c r="C19" i="12" a="1"/>
  <c r="C19" i="12" s="1"/>
  <c r="D19" i="12" a="1"/>
  <c r="D19" i="12" s="1"/>
  <c r="G13" i="12" a="1"/>
  <c r="G13" i="12" s="1"/>
  <c r="E13" i="12" a="1"/>
  <c r="E13" i="12" s="1"/>
  <c r="F13" i="12" a="1"/>
  <c r="F13" i="12" s="1"/>
  <c r="D13" i="12" a="1"/>
  <c r="D13" i="12" s="1"/>
  <c r="C13" i="12" a="1"/>
  <c r="C13" i="12" s="1"/>
  <c r="G7" i="12" a="1"/>
  <c r="G7" i="12" s="1"/>
  <c r="E7" i="12" a="1"/>
  <c r="E7" i="12" s="1"/>
  <c r="D7" i="12" a="1"/>
  <c r="D7" i="12" s="1"/>
  <c r="C7" i="12" a="1"/>
  <c r="C7" i="12" s="1"/>
  <c r="F7" i="12" a="1"/>
  <c r="F7" i="12" s="1"/>
  <c r="G60" i="12" a="1"/>
  <c r="G60" i="12" s="1"/>
  <c r="H84" i="10" s="1"/>
  <c r="D60" i="12" a="1"/>
  <c r="D60" i="12" s="1"/>
  <c r="E60" i="12" a="1"/>
  <c r="E60" i="12" s="1"/>
  <c r="C60" i="12" a="1"/>
  <c r="C60" i="12" s="1"/>
  <c r="F60" i="12" a="1"/>
  <c r="F60" i="12" s="1"/>
  <c r="E54" i="12" a="1"/>
  <c r="E54" i="12" s="1"/>
  <c r="C54" i="12" a="1"/>
  <c r="C54" i="12" s="1"/>
  <c r="G54" i="12" a="1"/>
  <c r="G54" i="12" s="1"/>
  <c r="H78" i="10" s="1"/>
  <c r="F54" i="12" a="1"/>
  <c r="F54" i="12" s="1"/>
  <c r="D54" i="12" a="1"/>
  <c r="D54" i="12" s="1"/>
  <c r="G48" i="12" a="1"/>
  <c r="G48" i="12" s="1"/>
  <c r="D48" i="12" a="1"/>
  <c r="D48" i="12" s="1"/>
  <c r="E72" i="10" s="1"/>
  <c r="C48" i="12" a="1"/>
  <c r="C48" i="12" s="1"/>
  <c r="E48" i="12" a="1"/>
  <c r="E48" i="12" s="1"/>
  <c r="F48" i="12" a="1"/>
  <c r="F48" i="12" s="1"/>
  <c r="C42" i="12" a="1"/>
  <c r="C42" i="12" s="1"/>
  <c r="E42" i="12" a="1"/>
  <c r="E42" i="12" s="1"/>
  <c r="F42" i="12" a="1"/>
  <c r="F42" i="12" s="1"/>
  <c r="G42" i="12" a="1"/>
  <c r="G42" i="12" s="1"/>
  <c r="D42" i="12" a="1"/>
  <c r="D42" i="12" s="1"/>
  <c r="E66" i="10" s="1"/>
  <c r="C81" i="12" a="1"/>
  <c r="C81" i="12" s="1"/>
  <c r="G81" i="12" a="1"/>
  <c r="G81" i="12" s="1"/>
  <c r="H105" i="10" s="1"/>
  <c r="D81" i="12" a="1"/>
  <c r="D81" i="12" s="1"/>
  <c r="E81" i="12" a="1"/>
  <c r="E81" i="12" s="1"/>
  <c r="F81" i="12" a="1"/>
  <c r="F81" i="12" s="1"/>
  <c r="G75" i="12" a="1"/>
  <c r="G75" i="12" s="1"/>
  <c r="H99" i="10" s="1"/>
  <c r="D75" i="12" a="1"/>
  <c r="D75" i="12" s="1"/>
  <c r="C75" i="12" a="1"/>
  <c r="C75" i="12" s="1"/>
  <c r="E75" i="12" a="1"/>
  <c r="E75" i="12" s="1"/>
  <c r="F75" i="12" a="1"/>
  <c r="F75" i="12" s="1"/>
  <c r="G69" i="12" a="1"/>
  <c r="G69" i="12" s="1"/>
  <c r="D69" i="12" a="1"/>
  <c r="D69" i="12" s="1"/>
  <c r="E93" i="10" s="1"/>
  <c r="E69" i="12" a="1"/>
  <c r="E69" i="12" s="1"/>
  <c r="F69" i="12" a="1"/>
  <c r="F69" i="12" s="1"/>
  <c r="J69" i="12" s="1"/>
  <c r="C69" i="12" a="1"/>
  <c r="C69" i="12" s="1"/>
  <c r="C63" i="12" a="1"/>
  <c r="C63" i="12" s="1"/>
  <c r="D63" i="12" a="1"/>
  <c r="D63" i="12" s="1"/>
  <c r="I63" i="12" s="1"/>
  <c r="G63" i="12" a="1"/>
  <c r="G63" i="12" s="1"/>
  <c r="H87" i="10" s="1"/>
  <c r="E63" i="12" a="1"/>
  <c r="E63" i="12" s="1"/>
  <c r="F63" i="12" a="1"/>
  <c r="F63" i="12" s="1"/>
  <c r="G90" i="12" a="1"/>
  <c r="G90" i="12" s="1"/>
  <c r="E90" i="12" a="1"/>
  <c r="E90" i="12" s="1"/>
  <c r="F90" i="12" a="1"/>
  <c r="F90" i="12" s="1"/>
  <c r="C90" i="12" a="1"/>
  <c r="C90" i="12" s="1"/>
  <c r="D90" i="12" a="1"/>
  <c r="D90" i="12" s="1"/>
  <c r="E114" i="10" s="1"/>
  <c r="C84" i="12" a="1"/>
  <c r="C84" i="12" s="1"/>
  <c r="D84" i="12" a="1"/>
  <c r="D84" i="12" s="1"/>
  <c r="E108" i="10" s="1"/>
  <c r="E84" i="12" a="1"/>
  <c r="E84" i="12" s="1"/>
  <c r="G84" i="12" a="1"/>
  <c r="G84" i="12" s="1"/>
  <c r="H108" i="10" s="1"/>
  <c r="F84" i="12" a="1"/>
  <c r="F84" i="12" s="1"/>
  <c r="A78" i="5"/>
  <c r="E99" i="10"/>
  <c r="A28" i="5"/>
  <c r="H49" i="10"/>
  <c r="J25" i="12"/>
  <c r="A72" i="5"/>
  <c r="H93" i="10"/>
  <c r="A10" i="5"/>
  <c r="H31" i="10"/>
  <c r="E31" i="10"/>
  <c r="A66" i="5"/>
  <c r="A83" i="5"/>
  <c r="H104" i="10"/>
  <c r="E104" i="10"/>
  <c r="J80" i="12"/>
  <c r="A84" i="5"/>
  <c r="E105" i="10"/>
  <c r="A22" i="5"/>
  <c r="H43" i="10"/>
  <c r="E43" i="10"/>
  <c r="A63" i="5"/>
  <c r="E84" i="10"/>
  <c r="A51" i="5"/>
  <c r="H72" i="10"/>
  <c r="J48" i="12"/>
  <c r="A97" i="5"/>
  <c r="H118" i="10"/>
  <c r="E118" i="10"/>
  <c r="A71" i="5"/>
  <c r="E92" i="10"/>
  <c r="H92" i="10"/>
  <c r="A38" i="5"/>
  <c r="E59" i="10"/>
  <c r="H59" i="10"/>
  <c r="A32" i="5"/>
  <c r="H53" i="10"/>
  <c r="E53" i="10"/>
  <c r="A26" i="5"/>
  <c r="H47" i="10"/>
  <c r="A20" i="5"/>
  <c r="H41" i="10"/>
  <c r="E41" i="10"/>
  <c r="A14" i="5"/>
  <c r="H35" i="10"/>
  <c r="J11" i="12"/>
  <c r="E35" i="10"/>
  <c r="A8" i="5"/>
  <c r="H29" i="10"/>
  <c r="A61" i="5"/>
  <c r="H82" i="10"/>
  <c r="E82" i="10"/>
  <c r="A55" i="5"/>
  <c r="E76" i="10"/>
  <c r="A49" i="5"/>
  <c r="E70" i="10"/>
  <c r="H70" i="10"/>
  <c r="A43" i="5"/>
  <c r="H64" i="10"/>
  <c r="E64" i="10"/>
  <c r="J40" i="12"/>
  <c r="A82" i="5"/>
  <c r="E103" i="10"/>
  <c r="A76" i="5"/>
  <c r="H97" i="10"/>
  <c r="E97" i="10"/>
  <c r="J73" i="12"/>
  <c r="A70" i="5"/>
  <c r="E91" i="10"/>
  <c r="H91" i="10"/>
  <c r="A64" i="5"/>
  <c r="H85" i="10"/>
  <c r="E85" i="10"/>
  <c r="J61" i="12"/>
  <c r="A91" i="5"/>
  <c r="E112" i="10"/>
  <c r="A85" i="5"/>
  <c r="H106" i="10"/>
  <c r="E106" i="10"/>
  <c r="A16" i="5"/>
  <c r="E37" i="10"/>
  <c r="H37" i="10"/>
  <c r="A57" i="5"/>
  <c r="E78" i="10"/>
  <c r="A87" i="5"/>
  <c r="A33" i="5"/>
  <c r="H54" i="10"/>
  <c r="A15" i="5"/>
  <c r="I12" i="12"/>
  <c r="H36" i="10"/>
  <c r="E36" i="10"/>
  <c r="A62" i="5"/>
  <c r="H83" i="10"/>
  <c r="E83" i="10"/>
  <c r="A44" i="5"/>
  <c r="H65" i="10"/>
  <c r="A77" i="5"/>
  <c r="H98" i="10"/>
  <c r="E98" i="10"/>
  <c r="A86" i="5"/>
  <c r="H107" i="10"/>
  <c r="E107" i="10"/>
  <c r="A93" i="5"/>
  <c r="H114" i="10"/>
  <c r="A21" i="5"/>
  <c r="H42" i="10"/>
  <c r="E42" i="10"/>
  <c r="A31" i="5"/>
  <c r="E52" i="10"/>
  <c r="A54" i="5"/>
  <c r="H75" i="10"/>
  <c r="E75" i="10"/>
  <c r="E121" i="10"/>
  <c r="H121" i="10"/>
  <c r="A19" i="5"/>
  <c r="E40" i="10"/>
  <c r="A60" i="5"/>
  <c r="A48" i="5"/>
  <c r="H69" i="10"/>
  <c r="E69" i="10"/>
  <c r="A81" i="5"/>
  <c r="H102" i="10"/>
  <c r="A75" i="5"/>
  <c r="E96" i="10"/>
  <c r="H96" i="10"/>
  <c r="A39" i="5"/>
  <c r="E60" i="10"/>
  <c r="I36" i="12"/>
  <c r="H60" i="10"/>
  <c r="A90" i="5"/>
  <c r="E111" i="10"/>
  <c r="H111" i="10"/>
  <c r="A36" i="5"/>
  <c r="E57" i="10"/>
  <c r="A30" i="5"/>
  <c r="E51" i="10"/>
  <c r="H51" i="10"/>
  <c r="A24" i="5"/>
  <c r="E45" i="10"/>
  <c r="H45" i="10"/>
  <c r="A18" i="5"/>
  <c r="H39" i="10"/>
  <c r="E39" i="10"/>
  <c r="A12" i="5"/>
  <c r="H33" i="10"/>
  <c r="E33" i="10"/>
  <c r="A6" i="5"/>
  <c r="H27" i="10"/>
  <c r="E27" i="10"/>
  <c r="A59" i="5"/>
  <c r="H80" i="10"/>
  <c r="E80" i="10"/>
  <c r="A53" i="5"/>
  <c r="H74" i="10"/>
  <c r="E74" i="10"/>
  <c r="A47" i="5"/>
  <c r="H68" i="10"/>
  <c r="E68" i="10"/>
  <c r="A41" i="5"/>
  <c r="H62" i="10"/>
  <c r="E62" i="10"/>
  <c r="J38" i="12"/>
  <c r="A80" i="5"/>
  <c r="H101" i="10"/>
  <c r="A74" i="5"/>
  <c r="H95" i="10"/>
  <c r="E95" i="10"/>
  <c r="J71" i="12"/>
  <c r="A68" i="5"/>
  <c r="E89" i="10"/>
  <c r="A95" i="5"/>
  <c r="H116" i="10"/>
  <c r="E116" i="10"/>
  <c r="A89" i="5"/>
  <c r="H110" i="10"/>
  <c r="E110" i="10"/>
  <c r="J86" i="12"/>
  <c r="A99" i="5"/>
  <c r="H120" i="10"/>
  <c r="E120" i="10"/>
  <c r="A34" i="5"/>
  <c r="H55" i="10"/>
  <c r="A45" i="5"/>
  <c r="H66" i="10"/>
  <c r="A27" i="5"/>
  <c r="H48" i="10"/>
  <c r="A9" i="5"/>
  <c r="E30" i="10"/>
  <c r="I6" i="12"/>
  <c r="A56" i="5"/>
  <c r="E77" i="10"/>
  <c r="A50" i="5"/>
  <c r="E71" i="10"/>
  <c r="H71" i="10"/>
  <c r="A65" i="5"/>
  <c r="H86" i="10"/>
  <c r="E86" i="10"/>
  <c r="A13" i="5"/>
  <c r="H34" i="10"/>
  <c r="E34" i="10"/>
  <c r="A69" i="5"/>
  <c r="A92" i="5"/>
  <c r="E113" i="10"/>
  <c r="A37" i="5"/>
  <c r="E58" i="10"/>
  <c r="A25" i="5"/>
  <c r="H46" i="10"/>
  <c r="A7" i="5"/>
  <c r="E28" i="10"/>
  <c r="H28" i="10"/>
  <c r="A42" i="5"/>
  <c r="H63" i="10"/>
  <c r="E63" i="10"/>
  <c r="A96" i="5"/>
  <c r="H117" i="10"/>
  <c r="J93" i="12"/>
  <c r="A35" i="5"/>
  <c r="H56" i="10"/>
  <c r="A29" i="5"/>
  <c r="E50" i="10"/>
  <c r="A23" i="5"/>
  <c r="H44" i="10"/>
  <c r="E44" i="10"/>
  <c r="A17" i="5"/>
  <c r="E38" i="10"/>
  <c r="A11" i="5"/>
  <c r="H32" i="10"/>
  <c r="E32" i="10"/>
  <c r="A58" i="5"/>
  <c r="H79" i="10"/>
  <c r="A52" i="5"/>
  <c r="H73" i="10"/>
  <c r="A46" i="5"/>
  <c r="H67" i="10"/>
  <c r="E67" i="10"/>
  <c r="A40" i="5"/>
  <c r="E61" i="10"/>
  <c r="A79" i="5"/>
  <c r="E100" i="10"/>
  <c r="A73" i="5"/>
  <c r="E94" i="10"/>
  <c r="H94" i="10"/>
  <c r="A67" i="5"/>
  <c r="A94" i="5"/>
  <c r="H115" i="10"/>
  <c r="E115" i="10"/>
  <c r="A88" i="5"/>
  <c r="E109" i="10"/>
  <c r="A98" i="5"/>
  <c r="E119" i="10"/>
  <c r="H119" i="10"/>
  <c r="A5" i="5"/>
  <c r="I19" i="12"/>
  <c r="I16" i="12"/>
  <c r="J9" i="12"/>
  <c r="I35" i="12"/>
  <c r="I79" i="12"/>
  <c r="J47" i="12"/>
  <c r="J35" i="12"/>
  <c r="J23" i="12"/>
  <c r="I18" i="12"/>
  <c r="J18" i="12"/>
  <c r="I38" i="12"/>
  <c r="I92" i="12"/>
  <c r="I97" i="12"/>
  <c r="J78" i="12"/>
  <c r="J92" i="12"/>
  <c r="I87" i="12"/>
  <c r="I75" i="12"/>
  <c r="I27" i="12"/>
  <c r="J94" i="12"/>
  <c r="I94" i="12"/>
  <c r="I58" i="12"/>
  <c r="I46" i="12"/>
  <c r="J15" i="12"/>
  <c r="I65" i="12"/>
  <c r="J46" i="12"/>
  <c r="I60" i="12"/>
  <c r="J29" i="12"/>
  <c r="J17" i="12"/>
  <c r="J7" i="12" l="1"/>
  <c r="I13" i="12"/>
  <c r="J60" i="12"/>
  <c r="J84" i="12"/>
  <c r="J81" i="12"/>
  <c r="J19" i="12"/>
  <c r="J88" i="12"/>
  <c r="J16" i="12"/>
  <c r="E81" i="10"/>
  <c r="J63" i="12"/>
  <c r="J75" i="12"/>
  <c r="H76" i="10"/>
  <c r="J79" i="12"/>
  <c r="E87" i="10"/>
  <c r="I48" i="12"/>
  <c r="J30" i="12"/>
  <c r="J54" i="12"/>
  <c r="J21" i="12"/>
  <c r="J74" i="12"/>
  <c r="J65" i="12"/>
  <c r="J77" i="12"/>
  <c r="J32" i="12"/>
  <c r="J50" i="12"/>
  <c r="I10" i="12"/>
  <c r="I73" i="12"/>
  <c r="I42" i="12"/>
  <c r="I33" i="12"/>
  <c r="I3" i="12"/>
  <c r="I67" i="12"/>
  <c r="I45" i="12"/>
  <c r="I51" i="12"/>
  <c r="I84" i="12"/>
  <c r="I88" i="12"/>
  <c r="I11" i="12"/>
  <c r="I23" i="12"/>
  <c r="I81" i="12"/>
  <c r="I74" i="12"/>
  <c r="I31" i="12"/>
  <c r="J87" i="12"/>
  <c r="J58" i="12"/>
  <c r="J49" i="12"/>
  <c r="J28" i="12"/>
  <c r="J51" i="12"/>
  <c r="J83" i="12"/>
  <c r="J10" i="12"/>
  <c r="J5" i="12"/>
  <c r="J56" i="12"/>
  <c r="J90" i="12"/>
  <c r="J72" i="12"/>
  <c r="J3" i="12"/>
  <c r="J13" i="12"/>
  <c r="J67" i="12"/>
  <c r="J41" i="12"/>
  <c r="J68" i="12"/>
  <c r="J12" i="12"/>
  <c r="J39" i="12"/>
  <c r="J22" i="12"/>
  <c r="J45" i="12"/>
  <c r="J59" i="12"/>
  <c r="I70" i="12"/>
  <c r="I53" i="12"/>
  <c r="I44" i="12"/>
  <c r="I90" i="12"/>
  <c r="I7" i="12"/>
  <c r="I82" i="12"/>
  <c r="I28" i="12"/>
  <c r="I9" i="12"/>
  <c r="I5" i="12"/>
  <c r="I80" i="12"/>
  <c r="I25" i="12"/>
  <c r="I62" i="12"/>
  <c r="I72" i="12"/>
  <c r="I59" i="12"/>
  <c r="I52" i="12"/>
  <c r="I50" i="12"/>
  <c r="I86" i="12"/>
  <c r="I39" i="12"/>
  <c r="I85" i="12"/>
  <c r="I26" i="12"/>
  <c r="I47" i="12"/>
  <c r="I69" i="12"/>
  <c r="I83" i="12"/>
  <c r="I41" i="12"/>
  <c r="I89" i="12"/>
  <c r="I29" i="12"/>
  <c r="I76" i="12"/>
  <c r="I20" i="12"/>
  <c r="F33" i="10"/>
  <c r="I12" i="5"/>
  <c r="N33" i="10" s="1"/>
  <c r="F83" i="10"/>
  <c r="I62" i="5"/>
  <c r="N83" i="10" s="1"/>
  <c r="C20" i="5"/>
  <c r="J41" i="10" s="1"/>
  <c r="D41" i="10"/>
  <c r="F104" i="10"/>
  <c r="I83" i="5"/>
  <c r="N104" i="10" s="1"/>
  <c r="C73" i="5"/>
  <c r="J94" i="10" s="1"/>
  <c r="D94" i="10"/>
  <c r="C96" i="5"/>
  <c r="J117" i="10" s="1"/>
  <c r="D117" i="10"/>
  <c r="I93" i="12"/>
  <c r="H58" i="10"/>
  <c r="J34" i="12"/>
  <c r="H90" i="10"/>
  <c r="J66" i="12"/>
  <c r="F86" i="10"/>
  <c r="I65" i="5"/>
  <c r="N86" i="10" s="1"/>
  <c r="E48" i="10"/>
  <c r="I24" i="12"/>
  <c r="F65" i="5"/>
  <c r="L86" i="10" s="1"/>
  <c r="G86" i="10"/>
  <c r="F68" i="10"/>
  <c r="I47" i="5"/>
  <c r="N68" i="10" s="1"/>
  <c r="F52" i="10"/>
  <c r="I31" i="5"/>
  <c r="N52" i="10" s="1"/>
  <c r="F76" i="10"/>
  <c r="I55" i="5"/>
  <c r="N76" i="10" s="1"/>
  <c r="F72" i="10"/>
  <c r="I51" i="5"/>
  <c r="N72" i="10" s="1"/>
  <c r="G119" i="10"/>
  <c r="F98" i="5"/>
  <c r="L119" i="10" s="1"/>
  <c r="G115" i="10"/>
  <c r="F94" i="5"/>
  <c r="L115" i="10" s="1"/>
  <c r="J91" i="12"/>
  <c r="F58" i="10"/>
  <c r="I37" i="5"/>
  <c r="N58" i="10" s="1"/>
  <c r="H77" i="10"/>
  <c r="J53" i="12"/>
  <c r="G48" i="10"/>
  <c r="F27" i="5"/>
  <c r="L48" i="10" s="1"/>
  <c r="H50" i="10"/>
  <c r="J26" i="12"/>
  <c r="F89" i="10"/>
  <c r="I68" i="5"/>
  <c r="N89" i="10" s="1"/>
  <c r="G106" i="10"/>
  <c r="F85" i="5"/>
  <c r="L106" i="10" s="1"/>
  <c r="F53" i="10"/>
  <c r="I32" i="5"/>
  <c r="N53" i="10" s="1"/>
  <c r="I17" i="12"/>
  <c r="I34" i="12"/>
  <c r="J95" i="12"/>
  <c r="C52" i="5"/>
  <c r="J73" i="10" s="1"/>
  <c r="D73" i="10"/>
  <c r="G28" i="10"/>
  <c r="F7" i="5"/>
  <c r="L28" i="10" s="1"/>
  <c r="J55" i="12"/>
  <c r="C40" i="5"/>
  <c r="J61" i="10" s="1"/>
  <c r="D61" i="10"/>
  <c r="I37" i="12"/>
  <c r="F50" i="10"/>
  <c r="I29" i="5"/>
  <c r="N50" i="10" s="1"/>
  <c r="D90" i="10"/>
  <c r="C69" i="5"/>
  <c r="J90" i="10" s="1"/>
  <c r="F115" i="10"/>
  <c r="I94" i="5"/>
  <c r="N115" i="10" s="1"/>
  <c r="F94" i="10"/>
  <c r="I73" i="5"/>
  <c r="N94" i="10" s="1"/>
  <c r="G61" i="10"/>
  <c r="F40" i="5"/>
  <c r="L61" i="10" s="1"/>
  <c r="E90" i="10"/>
  <c r="I66" i="12"/>
  <c r="F98" i="10"/>
  <c r="I77" i="5"/>
  <c r="N98" i="10" s="1"/>
  <c r="F8" i="5"/>
  <c r="L29" i="10" s="1"/>
  <c r="G29" i="10"/>
  <c r="F43" i="10"/>
  <c r="I22" i="5"/>
  <c r="N43" i="10" s="1"/>
  <c r="C94" i="5"/>
  <c r="J115" i="10" s="1"/>
  <c r="D115" i="10"/>
  <c r="F26" i="10"/>
  <c r="I5" i="5"/>
  <c r="N26" i="10" s="1"/>
  <c r="F119" i="10"/>
  <c r="I98" i="5"/>
  <c r="N119" i="10" s="1"/>
  <c r="G73" i="10"/>
  <c r="F52" i="5"/>
  <c r="L73" i="10" s="1"/>
  <c r="F96" i="5"/>
  <c r="L117" i="10" s="1"/>
  <c r="G117" i="10"/>
  <c r="J36" i="12"/>
  <c r="G57" i="10"/>
  <c r="F36" i="5"/>
  <c r="L57" i="10" s="1"/>
  <c r="J33" i="12"/>
  <c r="E54" i="10"/>
  <c r="I30" i="12"/>
  <c r="C71" i="5"/>
  <c r="J92" i="10" s="1"/>
  <c r="D92" i="10"/>
  <c r="I68" i="12"/>
  <c r="D31" i="10"/>
  <c r="C10" i="5"/>
  <c r="J31" i="10" s="1"/>
  <c r="H61" i="10"/>
  <c r="J37" i="12"/>
  <c r="C29" i="5"/>
  <c r="J50" i="10" s="1"/>
  <c r="D50" i="10"/>
  <c r="G94" i="10"/>
  <c r="F73" i="5"/>
  <c r="L94" i="10" s="1"/>
  <c r="J70" i="12"/>
  <c r="H26" i="10"/>
  <c r="J2" i="12"/>
  <c r="I56" i="12"/>
  <c r="J20" i="12"/>
  <c r="J76" i="12"/>
  <c r="I4" i="12"/>
  <c r="J14" i="12"/>
  <c r="I14" i="12"/>
  <c r="I43" i="12"/>
  <c r="F56" i="5"/>
  <c r="L77" i="10" s="1"/>
  <c r="G77" i="10"/>
  <c r="F56" i="10"/>
  <c r="I35" i="5"/>
  <c r="N56" i="10" s="1"/>
  <c r="D63" i="10"/>
  <c r="C42" i="5"/>
  <c r="J63" i="10" s="1"/>
  <c r="F46" i="10"/>
  <c r="I25" i="5"/>
  <c r="N46" i="10" s="1"/>
  <c r="F34" i="10"/>
  <c r="I13" i="5"/>
  <c r="N34" i="10" s="1"/>
  <c r="H30" i="10"/>
  <c r="J6" i="12"/>
  <c r="G66" i="10"/>
  <c r="F45" i="5"/>
  <c r="L66" i="10" s="1"/>
  <c r="F48" i="10"/>
  <c r="I27" i="5"/>
  <c r="N48" i="10" s="1"/>
  <c r="F45" i="10"/>
  <c r="I24" i="5"/>
  <c r="N45" i="10" s="1"/>
  <c r="G109" i="10"/>
  <c r="F88" i="5"/>
  <c r="L109" i="10" s="1"/>
  <c r="F63" i="10"/>
  <c r="I42" i="5"/>
  <c r="N63" i="10" s="1"/>
  <c r="H113" i="10"/>
  <c r="J89" i="12"/>
  <c r="C50" i="5"/>
  <c r="J71" i="10" s="1"/>
  <c r="D71" i="10"/>
  <c r="F9" i="5"/>
  <c r="L30" i="10" s="1"/>
  <c r="G30" i="10"/>
  <c r="F66" i="10"/>
  <c r="I45" i="5"/>
  <c r="N66" i="10" s="1"/>
  <c r="F120" i="10"/>
  <c r="I99" i="5"/>
  <c r="N120" i="10" s="1"/>
  <c r="E101" i="10"/>
  <c r="I77" i="12"/>
  <c r="C93" i="5"/>
  <c r="J114" i="10" s="1"/>
  <c r="D114" i="10"/>
  <c r="C11" i="5"/>
  <c r="J32" i="10" s="1"/>
  <c r="D32" i="10"/>
  <c r="F46" i="5"/>
  <c r="L67" i="10" s="1"/>
  <c r="G67" i="10"/>
  <c r="F23" i="5"/>
  <c r="L44" i="10" s="1"/>
  <c r="G44" i="10"/>
  <c r="F109" i="10"/>
  <c r="I88" i="5"/>
  <c r="N109" i="10" s="1"/>
  <c r="G46" i="10"/>
  <c r="F25" i="5"/>
  <c r="L46" i="10" s="1"/>
  <c r="G71" i="10"/>
  <c r="F50" i="5"/>
  <c r="L71" i="10" s="1"/>
  <c r="F30" i="10"/>
  <c r="I9" i="5"/>
  <c r="N30" i="10" s="1"/>
  <c r="F38" i="10"/>
  <c r="I17" i="5"/>
  <c r="N38" i="10" s="1"/>
  <c r="G110" i="10"/>
  <c r="F89" i="5"/>
  <c r="L110" i="10" s="1"/>
  <c r="G121" i="10"/>
  <c r="F100" i="5"/>
  <c r="L121" i="10" s="1"/>
  <c r="C43" i="5"/>
  <c r="J64" i="10" s="1"/>
  <c r="D64" i="10"/>
  <c r="J85" i="12"/>
  <c r="F88" i="10"/>
  <c r="I67" i="5"/>
  <c r="N88" i="10" s="1"/>
  <c r="F32" i="10"/>
  <c r="I11" i="5"/>
  <c r="N32" i="10" s="1"/>
  <c r="E46" i="10"/>
  <c r="I22" i="12"/>
  <c r="I49" i="12"/>
  <c r="I54" i="12"/>
  <c r="J43" i="12"/>
  <c r="I91" i="12"/>
  <c r="F100" i="10"/>
  <c r="I79" i="5"/>
  <c r="N100" i="10" s="1"/>
  <c r="F42" i="5"/>
  <c r="L63" i="10" s="1"/>
  <c r="G63" i="10"/>
  <c r="F13" i="5"/>
  <c r="L34" i="10" s="1"/>
  <c r="G34" i="10"/>
  <c r="J82" i="12"/>
  <c r="I8" i="12"/>
  <c r="J97" i="12"/>
  <c r="H88" i="10"/>
  <c r="J64" i="12"/>
  <c r="F117" i="10"/>
  <c r="I96" i="5"/>
  <c r="N117" i="10" s="1"/>
  <c r="F55" i="10"/>
  <c r="I34" i="5"/>
  <c r="N55" i="10" s="1"/>
  <c r="H81" i="10"/>
  <c r="J57" i="12"/>
  <c r="F97" i="10"/>
  <c r="I76" i="5"/>
  <c r="N97" i="10" s="1"/>
  <c r="F35" i="5"/>
  <c r="L56" i="10" s="1"/>
  <c r="G56" i="10"/>
  <c r="E88" i="10"/>
  <c r="I64" i="12"/>
  <c r="E79" i="10"/>
  <c r="I55" i="12"/>
  <c r="E56" i="10"/>
  <c r="I32" i="12"/>
  <c r="F92" i="5"/>
  <c r="L113" i="10" s="1"/>
  <c r="G113" i="10"/>
  <c r="I61" i="12"/>
  <c r="I78" i="12"/>
  <c r="J4" i="12"/>
  <c r="I40" i="12"/>
  <c r="F27" i="10"/>
  <c r="I6" i="5"/>
  <c r="N27" i="10" s="1"/>
  <c r="J44" i="12"/>
  <c r="I95" i="12"/>
  <c r="I71" i="12"/>
  <c r="J27" i="12"/>
  <c r="J31" i="12"/>
  <c r="J96" i="12"/>
  <c r="J62" i="12"/>
  <c r="I96" i="12"/>
  <c r="D109" i="10"/>
  <c r="C88" i="5"/>
  <c r="J109" i="10" s="1"/>
  <c r="F67" i="5"/>
  <c r="L88" i="10" s="1"/>
  <c r="G88" i="10"/>
  <c r="G100" i="10"/>
  <c r="F79" i="5"/>
  <c r="L100" i="10" s="1"/>
  <c r="F79" i="10"/>
  <c r="I58" i="5"/>
  <c r="N79" i="10" s="1"/>
  <c r="C31" i="5"/>
  <c r="J52" i="10" s="1"/>
  <c r="D52" i="10"/>
  <c r="G98" i="10"/>
  <c r="F77" i="5"/>
  <c r="L98" i="10" s="1"/>
  <c r="C62" i="5"/>
  <c r="J83" i="10" s="1"/>
  <c r="D83" i="10"/>
  <c r="C33" i="5"/>
  <c r="J54" i="10" s="1"/>
  <c r="D54" i="10"/>
  <c r="F78" i="10"/>
  <c r="I57" i="5"/>
  <c r="N78" i="10" s="1"/>
  <c r="C85" i="5"/>
  <c r="J106" i="10" s="1"/>
  <c r="D106" i="10"/>
  <c r="G85" i="10"/>
  <c r="F64" i="5"/>
  <c r="L85" i="10" s="1"/>
  <c r="G97" i="10"/>
  <c r="F76" i="5"/>
  <c r="L97" i="10" s="1"/>
  <c r="G64" i="10"/>
  <c r="F43" i="5"/>
  <c r="L64" i="10" s="1"/>
  <c r="F55" i="5"/>
  <c r="L76" i="10" s="1"/>
  <c r="G76" i="10"/>
  <c r="F41" i="10"/>
  <c r="I20" i="5"/>
  <c r="N41" i="10" s="1"/>
  <c r="D53" i="10"/>
  <c r="C32" i="5"/>
  <c r="J53" i="10" s="1"/>
  <c r="G72" i="10"/>
  <c r="F51" i="5"/>
  <c r="L72" i="10" s="1"/>
  <c r="C22" i="5"/>
  <c r="J43" i="10" s="1"/>
  <c r="D43" i="10"/>
  <c r="F83" i="5"/>
  <c r="L104" i="10" s="1"/>
  <c r="G104" i="10"/>
  <c r="G31" i="10"/>
  <c r="F10" i="5"/>
  <c r="L31" i="10" s="1"/>
  <c r="F28" i="5"/>
  <c r="L49" i="10" s="1"/>
  <c r="G49" i="10"/>
  <c r="G55" i="10"/>
  <c r="F34" i="5"/>
  <c r="L55" i="10" s="1"/>
  <c r="F110" i="10"/>
  <c r="I89" i="5"/>
  <c r="N110" i="10" s="1"/>
  <c r="D33" i="10"/>
  <c r="C12" i="5"/>
  <c r="J33" i="10" s="1"/>
  <c r="D60" i="10"/>
  <c r="C39" i="5"/>
  <c r="J60" i="10" s="1"/>
  <c r="C60" i="5"/>
  <c r="J81" i="10" s="1"/>
  <c r="D81" i="10"/>
  <c r="F121" i="10"/>
  <c r="I100" i="5"/>
  <c r="N121" i="10" s="1"/>
  <c r="F31" i="5"/>
  <c r="L52" i="10" s="1"/>
  <c r="G52" i="10"/>
  <c r="G83" i="10"/>
  <c r="F62" i="5"/>
  <c r="L83" i="10" s="1"/>
  <c r="F54" i="10"/>
  <c r="I33" i="5"/>
  <c r="N54" i="10" s="1"/>
  <c r="F106" i="10"/>
  <c r="I85" i="5"/>
  <c r="N106" i="10" s="1"/>
  <c r="D29" i="10"/>
  <c r="C8" i="5"/>
  <c r="J29" i="10" s="1"/>
  <c r="G53" i="10"/>
  <c r="F32" i="5"/>
  <c r="L53" i="10" s="1"/>
  <c r="F71" i="5"/>
  <c r="L92" i="10" s="1"/>
  <c r="G92" i="10"/>
  <c r="D104" i="10"/>
  <c r="C83" i="5"/>
  <c r="J104" i="10" s="1"/>
  <c r="F31" i="10"/>
  <c r="I10" i="5"/>
  <c r="N31" i="10" s="1"/>
  <c r="C28" i="5"/>
  <c r="J49" i="10" s="1"/>
  <c r="D49" i="10"/>
  <c r="C68" i="5"/>
  <c r="J89" i="10" s="1"/>
  <c r="D89" i="10"/>
  <c r="C80" i="5"/>
  <c r="J101" i="10" s="1"/>
  <c r="D101" i="10"/>
  <c r="D80" i="10"/>
  <c r="C59" i="5"/>
  <c r="J80" i="10" s="1"/>
  <c r="G45" i="10"/>
  <c r="F24" i="5"/>
  <c r="L45" i="10" s="1"/>
  <c r="F57" i="10"/>
  <c r="I36" i="5"/>
  <c r="N57" i="10" s="1"/>
  <c r="G60" i="10"/>
  <c r="F39" i="5"/>
  <c r="L60" i="10" s="1"/>
  <c r="C81" i="5"/>
  <c r="J102" i="10" s="1"/>
  <c r="D102" i="10"/>
  <c r="G81" i="10"/>
  <c r="F60" i="5"/>
  <c r="L81" i="10" s="1"/>
  <c r="F93" i="5"/>
  <c r="L114" i="10" s="1"/>
  <c r="G114" i="10"/>
  <c r="C57" i="5"/>
  <c r="J78" i="10" s="1"/>
  <c r="D78" i="10"/>
  <c r="F85" i="10"/>
  <c r="I64" i="5"/>
  <c r="N85" i="10" s="1"/>
  <c r="F64" i="10"/>
  <c r="I43" i="5"/>
  <c r="N64" i="10" s="1"/>
  <c r="F29" i="10"/>
  <c r="I8" i="5"/>
  <c r="N29" i="10" s="1"/>
  <c r="G41" i="10"/>
  <c r="F20" i="5"/>
  <c r="L41" i="10" s="1"/>
  <c r="F92" i="10"/>
  <c r="I71" i="5"/>
  <c r="N92" i="10" s="1"/>
  <c r="C51" i="5"/>
  <c r="J72" i="10" s="1"/>
  <c r="D72" i="10"/>
  <c r="G43" i="10"/>
  <c r="F22" i="5"/>
  <c r="L43" i="10" s="1"/>
  <c r="G38" i="10"/>
  <c r="F17" i="5"/>
  <c r="L38" i="10" s="1"/>
  <c r="C7" i="5"/>
  <c r="J28" i="10" s="1"/>
  <c r="D28" i="10"/>
  <c r="F80" i="5"/>
  <c r="L101" i="10" s="1"/>
  <c r="G101" i="10"/>
  <c r="F59" i="5"/>
  <c r="L80" i="10" s="1"/>
  <c r="G80" i="10"/>
  <c r="G33" i="10"/>
  <c r="F12" i="5"/>
  <c r="L33" i="10" s="1"/>
  <c r="F60" i="10"/>
  <c r="I39" i="5"/>
  <c r="N60" i="10" s="1"/>
  <c r="F81" i="5"/>
  <c r="L102" i="10" s="1"/>
  <c r="G102" i="10"/>
  <c r="F81" i="10"/>
  <c r="I60" i="5"/>
  <c r="N81" i="10" s="1"/>
  <c r="F114" i="10"/>
  <c r="I93" i="5"/>
  <c r="N114" i="10" s="1"/>
  <c r="C77" i="5"/>
  <c r="J98" i="10" s="1"/>
  <c r="D98" i="10"/>
  <c r="G54" i="10"/>
  <c r="F33" i="5"/>
  <c r="L54" i="10" s="1"/>
  <c r="G78" i="10"/>
  <c r="F57" i="5"/>
  <c r="L78" i="10" s="1"/>
  <c r="C64" i="5"/>
  <c r="J85" i="10" s="1"/>
  <c r="D85" i="10"/>
  <c r="C76" i="5"/>
  <c r="J97" i="10" s="1"/>
  <c r="D97" i="10"/>
  <c r="C55" i="5"/>
  <c r="J76" i="10" s="1"/>
  <c r="D76" i="10"/>
  <c r="F49" i="10"/>
  <c r="I28" i="5"/>
  <c r="N49" i="10" s="1"/>
  <c r="F69" i="5"/>
  <c r="L90" i="10" s="1"/>
  <c r="G90" i="10"/>
  <c r="F68" i="5"/>
  <c r="L89" i="10" s="1"/>
  <c r="G89" i="10"/>
  <c r="F61" i="10"/>
  <c r="I40" i="5"/>
  <c r="N61" i="10" s="1"/>
  <c r="G26" i="10"/>
  <c r="F5" i="5"/>
  <c r="L26" i="10" s="1"/>
  <c r="D38" i="10"/>
  <c r="C17" i="5"/>
  <c r="J38" i="10" s="1"/>
  <c r="G50" i="10"/>
  <c r="F29" i="5"/>
  <c r="L50" i="10" s="1"/>
  <c r="F28" i="10"/>
  <c r="I7" i="5"/>
  <c r="N28" i="10" s="1"/>
  <c r="G58" i="10"/>
  <c r="F37" i="5"/>
  <c r="L58" i="10" s="1"/>
  <c r="F90" i="10"/>
  <c r="I69" i="5"/>
  <c r="N90" i="10" s="1"/>
  <c r="D86" i="10"/>
  <c r="C65" i="5"/>
  <c r="J86" i="10" s="1"/>
  <c r="C56" i="5"/>
  <c r="J77" i="10" s="1"/>
  <c r="D77" i="10"/>
  <c r="D48" i="10"/>
  <c r="C27" i="5"/>
  <c r="J48" i="10" s="1"/>
  <c r="C34" i="5"/>
  <c r="J55" i="10" s="1"/>
  <c r="D55" i="10"/>
  <c r="C89" i="5"/>
  <c r="J110" i="10" s="1"/>
  <c r="D110" i="10"/>
  <c r="F101" i="10"/>
  <c r="I80" i="5"/>
  <c r="N101" i="10" s="1"/>
  <c r="F47" i="5"/>
  <c r="L68" i="10" s="1"/>
  <c r="G68" i="10"/>
  <c r="F80" i="10"/>
  <c r="I59" i="5"/>
  <c r="N80" i="10" s="1"/>
  <c r="D45" i="10"/>
  <c r="C24" i="5"/>
  <c r="J45" i="10" s="1"/>
  <c r="D57" i="10"/>
  <c r="C36" i="5"/>
  <c r="J57" i="10" s="1"/>
  <c r="F102" i="10"/>
  <c r="I81" i="5"/>
  <c r="N102" i="10" s="1"/>
  <c r="D121" i="10"/>
  <c r="C100" i="5"/>
  <c r="J121" i="10" s="1"/>
  <c r="F73" i="10"/>
  <c r="I52" i="5"/>
  <c r="N73" i="10" s="1"/>
  <c r="C37" i="5"/>
  <c r="J58" i="10" s="1"/>
  <c r="D58" i="10"/>
  <c r="F77" i="10"/>
  <c r="I56" i="5"/>
  <c r="N77" i="10" s="1"/>
  <c r="D68" i="10"/>
  <c r="C47" i="5"/>
  <c r="J68" i="10" s="1"/>
  <c r="J8" i="12"/>
  <c r="I15" i="12"/>
  <c r="J42" i="12"/>
  <c r="J24" i="12"/>
  <c r="C98" i="5"/>
  <c r="J119" i="10" s="1"/>
  <c r="D119" i="10"/>
  <c r="F54" i="5"/>
  <c r="L75" i="10" s="1"/>
  <c r="G75" i="10"/>
  <c r="F42" i="10"/>
  <c r="I21" i="5"/>
  <c r="N42" i="10" s="1"/>
  <c r="F86" i="5"/>
  <c r="L107" i="10" s="1"/>
  <c r="G107" i="10"/>
  <c r="G65" i="10"/>
  <c r="F44" i="5"/>
  <c r="L65" i="10" s="1"/>
  <c r="F36" i="10"/>
  <c r="I15" i="5"/>
  <c r="N36" i="10" s="1"/>
  <c r="G108" i="10"/>
  <c r="F87" i="5"/>
  <c r="L108" i="10" s="1"/>
  <c r="F37" i="10"/>
  <c r="I16" i="5"/>
  <c r="N37" i="10" s="1"/>
  <c r="C82" i="5"/>
  <c r="J103" i="10" s="1"/>
  <c r="D103" i="10"/>
  <c r="C61" i="5"/>
  <c r="J82" i="10" s="1"/>
  <c r="D82" i="10"/>
  <c r="F35" i="10"/>
  <c r="I14" i="5"/>
  <c r="N35" i="10" s="1"/>
  <c r="F47" i="10"/>
  <c r="I26" i="5"/>
  <c r="N47" i="10" s="1"/>
  <c r="C97" i="5"/>
  <c r="J118" i="10" s="1"/>
  <c r="D118" i="10"/>
  <c r="C63" i="5"/>
  <c r="J84" i="10" s="1"/>
  <c r="D84" i="10"/>
  <c r="F84" i="5"/>
  <c r="L105" i="10" s="1"/>
  <c r="G105" i="10"/>
  <c r="F66" i="5"/>
  <c r="L87" i="10" s="1"/>
  <c r="G87" i="10"/>
  <c r="F72" i="5"/>
  <c r="L93" i="10" s="1"/>
  <c r="G93" i="10"/>
  <c r="G120" i="10"/>
  <c r="F99" i="5"/>
  <c r="L120" i="10" s="1"/>
  <c r="D116" i="10"/>
  <c r="C95" i="5"/>
  <c r="J116" i="10" s="1"/>
  <c r="C74" i="5"/>
  <c r="J95" i="10" s="1"/>
  <c r="D95" i="10"/>
  <c r="C41" i="5"/>
  <c r="J62" i="10" s="1"/>
  <c r="D62" i="10"/>
  <c r="G74" i="10"/>
  <c r="F53" i="5"/>
  <c r="L74" i="10" s="1"/>
  <c r="G27" i="10"/>
  <c r="F6" i="5"/>
  <c r="L27" i="10" s="1"/>
  <c r="F111" i="10"/>
  <c r="I90" i="5"/>
  <c r="N111" i="10" s="1"/>
  <c r="G96" i="10"/>
  <c r="F75" i="5"/>
  <c r="L96" i="10" s="1"/>
  <c r="C21" i="5"/>
  <c r="J42" i="10" s="1"/>
  <c r="D42" i="10"/>
  <c r="F65" i="10"/>
  <c r="I44" i="5"/>
  <c r="N65" i="10" s="1"/>
  <c r="F108" i="10"/>
  <c r="I87" i="5"/>
  <c r="N108" i="10" s="1"/>
  <c r="G37" i="10"/>
  <c r="F16" i="5"/>
  <c r="L37" i="10" s="1"/>
  <c r="F112" i="10"/>
  <c r="I91" i="5"/>
  <c r="N112" i="10" s="1"/>
  <c r="D91" i="10"/>
  <c r="C70" i="5"/>
  <c r="J91" i="10" s="1"/>
  <c r="G103" i="10"/>
  <c r="F82" i="5"/>
  <c r="L103" i="10" s="1"/>
  <c r="G70" i="10"/>
  <c r="F49" i="5"/>
  <c r="L70" i="10" s="1"/>
  <c r="F61" i="5"/>
  <c r="L82" i="10" s="1"/>
  <c r="G82" i="10"/>
  <c r="F26" i="5"/>
  <c r="L47" i="10" s="1"/>
  <c r="G47" i="10"/>
  <c r="C38" i="5"/>
  <c r="J59" i="10" s="1"/>
  <c r="D59" i="10"/>
  <c r="G118" i="10"/>
  <c r="F97" i="5"/>
  <c r="L118" i="10" s="1"/>
  <c r="G84" i="10"/>
  <c r="F63" i="5"/>
  <c r="L84" i="10" s="1"/>
  <c r="F105" i="10"/>
  <c r="I84" i="5"/>
  <c r="N105" i="10" s="1"/>
  <c r="F87" i="10"/>
  <c r="I66" i="5"/>
  <c r="N87" i="10" s="1"/>
  <c r="F93" i="10"/>
  <c r="I72" i="5"/>
  <c r="N93" i="10" s="1"/>
  <c r="G116" i="10"/>
  <c r="F95" i="5"/>
  <c r="L116" i="10" s="1"/>
  <c r="G95" i="10"/>
  <c r="F74" i="5"/>
  <c r="L95" i="10" s="1"/>
  <c r="G62" i="10"/>
  <c r="F41" i="5"/>
  <c r="L62" i="10" s="1"/>
  <c r="F74" i="10"/>
  <c r="I53" i="5"/>
  <c r="N74" i="10" s="1"/>
  <c r="G39" i="10"/>
  <c r="F18" i="5"/>
  <c r="L39" i="10" s="1"/>
  <c r="C30" i="5"/>
  <c r="J51" i="10" s="1"/>
  <c r="D51" i="10"/>
  <c r="D40" i="10"/>
  <c r="C19" i="5"/>
  <c r="J40" i="10" s="1"/>
  <c r="G91" i="10"/>
  <c r="F70" i="5"/>
  <c r="L91" i="10" s="1"/>
  <c r="F103" i="10"/>
  <c r="I82" i="5"/>
  <c r="N103" i="10" s="1"/>
  <c r="F82" i="10"/>
  <c r="I61" i="5"/>
  <c r="N82" i="10" s="1"/>
  <c r="G35" i="10"/>
  <c r="F14" i="5"/>
  <c r="L35" i="10" s="1"/>
  <c r="F118" i="10"/>
  <c r="I97" i="5"/>
  <c r="N118" i="10" s="1"/>
  <c r="F84" i="10"/>
  <c r="I63" i="5"/>
  <c r="N84" i="10" s="1"/>
  <c r="C72" i="5"/>
  <c r="J93" i="10" s="1"/>
  <c r="D93" i="10"/>
  <c r="C78" i="5"/>
  <c r="J99" i="10" s="1"/>
  <c r="D99" i="10"/>
  <c r="F116" i="10"/>
  <c r="I95" i="5"/>
  <c r="N116" i="10" s="1"/>
  <c r="F95" i="10"/>
  <c r="I74" i="5"/>
  <c r="N95" i="10" s="1"/>
  <c r="F62" i="10"/>
  <c r="I41" i="5"/>
  <c r="N62" i="10" s="1"/>
  <c r="F51" i="10"/>
  <c r="I30" i="5"/>
  <c r="N51" i="10" s="1"/>
  <c r="C90" i="5"/>
  <c r="J111" i="10" s="1"/>
  <c r="D111" i="10"/>
  <c r="D69" i="10"/>
  <c r="C48" i="5"/>
  <c r="J69" i="10" s="1"/>
  <c r="F40" i="10"/>
  <c r="I19" i="5"/>
  <c r="N40" i="10" s="1"/>
  <c r="F75" i="10"/>
  <c r="I54" i="5"/>
  <c r="N75" i="10" s="1"/>
  <c r="F21" i="5"/>
  <c r="L42" i="10" s="1"/>
  <c r="G42" i="10"/>
  <c r="F107" i="10"/>
  <c r="I86" i="5"/>
  <c r="N107" i="10" s="1"/>
  <c r="F15" i="5"/>
  <c r="L36" i="10" s="1"/>
  <c r="G36" i="10"/>
  <c r="C16" i="5"/>
  <c r="J37" i="10" s="1"/>
  <c r="D37" i="10"/>
  <c r="F91" i="5"/>
  <c r="L112" i="10" s="1"/>
  <c r="G112" i="10"/>
  <c r="C49" i="5"/>
  <c r="J70" i="10" s="1"/>
  <c r="D70" i="10"/>
  <c r="G59" i="10"/>
  <c r="F38" i="5"/>
  <c r="L59" i="10" s="1"/>
  <c r="F99" i="10"/>
  <c r="I78" i="5"/>
  <c r="N99" i="10" s="1"/>
  <c r="C58" i="5"/>
  <c r="J79" i="10" s="1"/>
  <c r="D79" i="10"/>
  <c r="F44" i="10"/>
  <c r="I23" i="5"/>
  <c r="N44" i="10" s="1"/>
  <c r="C9" i="5"/>
  <c r="J30" i="10" s="1"/>
  <c r="D30" i="10"/>
  <c r="C18" i="5"/>
  <c r="J39" i="10" s="1"/>
  <c r="D39" i="10"/>
  <c r="F30" i="5"/>
  <c r="L51" i="10" s="1"/>
  <c r="G51" i="10"/>
  <c r="F96" i="10"/>
  <c r="I75" i="5"/>
  <c r="N96" i="10" s="1"/>
  <c r="F69" i="10"/>
  <c r="I48" i="5"/>
  <c r="N69" i="10" s="1"/>
  <c r="D75" i="10"/>
  <c r="C54" i="5"/>
  <c r="J75" i="10" s="1"/>
  <c r="C86" i="5"/>
  <c r="J107" i="10" s="1"/>
  <c r="D107" i="10"/>
  <c r="D65" i="10"/>
  <c r="C44" i="5"/>
  <c r="J65" i="10" s="1"/>
  <c r="D36" i="10"/>
  <c r="C15" i="5"/>
  <c r="J36" i="10" s="1"/>
  <c r="C87" i="5"/>
  <c r="J108" i="10" s="1"/>
  <c r="D108" i="10"/>
  <c r="C91" i="5"/>
  <c r="J112" i="10" s="1"/>
  <c r="D112" i="10"/>
  <c r="F91" i="10"/>
  <c r="I70" i="5"/>
  <c r="N91" i="10" s="1"/>
  <c r="F70" i="10"/>
  <c r="I49" i="5"/>
  <c r="N70" i="10" s="1"/>
  <c r="C14" i="5"/>
  <c r="J35" i="10" s="1"/>
  <c r="D35" i="10"/>
  <c r="C26" i="5"/>
  <c r="J47" i="10" s="1"/>
  <c r="D47" i="10"/>
  <c r="F59" i="10"/>
  <c r="I38" i="5"/>
  <c r="N59" i="10" s="1"/>
  <c r="C84" i="5"/>
  <c r="J105" i="10" s="1"/>
  <c r="D105" i="10"/>
  <c r="D87" i="10"/>
  <c r="C66" i="5"/>
  <c r="J87" i="10" s="1"/>
  <c r="F78" i="5"/>
  <c r="L99" i="10" s="1"/>
  <c r="G99" i="10"/>
  <c r="F67" i="10"/>
  <c r="I46" i="5"/>
  <c r="N67" i="10" s="1"/>
  <c r="C92" i="5"/>
  <c r="J113" i="10" s="1"/>
  <c r="D113" i="10"/>
  <c r="F71" i="10"/>
  <c r="I50" i="5"/>
  <c r="N71" i="10" s="1"/>
  <c r="D88" i="10"/>
  <c r="C67" i="5"/>
  <c r="J88" i="10" s="1"/>
  <c r="C79" i="5"/>
  <c r="J100" i="10" s="1"/>
  <c r="D100" i="10"/>
  <c r="C46" i="5"/>
  <c r="J67" i="10" s="1"/>
  <c r="D67" i="10"/>
  <c r="F58" i="5"/>
  <c r="L79" i="10" s="1"/>
  <c r="G79" i="10"/>
  <c r="F11" i="5"/>
  <c r="L32" i="10" s="1"/>
  <c r="G32" i="10"/>
  <c r="D44" i="10"/>
  <c r="C23" i="5"/>
  <c r="J44" i="10" s="1"/>
  <c r="C35" i="5"/>
  <c r="J56" i="10" s="1"/>
  <c r="D56" i="10"/>
  <c r="C25" i="5"/>
  <c r="J46" i="10" s="1"/>
  <c r="D46" i="10"/>
  <c r="F113" i="10"/>
  <c r="I92" i="5"/>
  <c r="N113" i="10" s="1"/>
  <c r="C13" i="5"/>
  <c r="J34" i="10" s="1"/>
  <c r="D34" i="10"/>
  <c r="C45" i="5"/>
  <c r="J66" i="10" s="1"/>
  <c r="D66" i="10"/>
  <c r="C99" i="5"/>
  <c r="J120" i="10" s="1"/>
  <c r="D120" i="10"/>
  <c r="C53" i="5"/>
  <c r="J74" i="10" s="1"/>
  <c r="D74" i="10"/>
  <c r="D27" i="10"/>
  <c r="C6" i="5"/>
  <c r="J27" i="10" s="1"/>
  <c r="F39" i="10"/>
  <c r="I18" i="5"/>
  <c r="N39" i="10" s="1"/>
  <c r="F90" i="5"/>
  <c r="L111" i="10" s="1"/>
  <c r="G111" i="10"/>
  <c r="C75" i="5"/>
  <c r="J96" i="10" s="1"/>
  <c r="D96" i="10"/>
  <c r="F48" i="5"/>
  <c r="L69" i="10" s="1"/>
  <c r="G69" i="10"/>
  <c r="F19" i="5"/>
  <c r="L40" i="10" s="1"/>
  <c r="G40" i="10"/>
  <c r="C5" i="5"/>
  <c r="J26" i="10" s="1"/>
  <c r="D26" i="10"/>
  <c r="E26" i="10"/>
  <c r="I2" i="12"/>
  <c r="D41" i="5" a="1"/>
  <c r="D41" i="5" s="1"/>
  <c r="K62" i="10" s="1"/>
  <c r="D15" i="5" a="1"/>
  <c r="D15" i="5" s="1"/>
  <c r="K36" i="10" s="1"/>
  <c r="D20" i="5" a="1"/>
  <c r="D20" i="5" s="1"/>
  <c r="K41" i="10" s="1"/>
  <c r="D7" i="5" a="1"/>
  <c r="D7" i="5" s="1"/>
  <c r="K28" i="10" s="1"/>
  <c r="D77" i="5" a="1"/>
  <c r="D77" i="5" s="1"/>
  <c r="K98" i="10" s="1"/>
  <c r="D8" i="5" a="1"/>
  <c r="D8" i="5" s="1"/>
  <c r="K29" i="10" s="1"/>
  <c r="D88" i="5" a="1"/>
  <c r="D88" i="5" s="1"/>
  <c r="K109" i="10" s="1"/>
  <c r="C26" i="10"/>
  <c r="D73" i="5" l="1" a="1"/>
  <c r="D73" i="5" s="1"/>
  <c r="K94" i="10" s="1"/>
  <c r="D32" i="5" a="1"/>
  <c r="D32" i="5" s="1"/>
  <c r="K53" i="10" s="1"/>
  <c r="D100" i="5" a="1"/>
  <c r="D100" i="5" s="1"/>
  <c r="K121" i="10" s="1"/>
  <c r="G36" i="5" a="1"/>
  <c r="G36" i="5" s="1"/>
  <c r="D38" i="5" a="1"/>
  <c r="D38" i="5" s="1"/>
  <c r="K59" i="10" s="1"/>
  <c r="D42" i="5" a="1"/>
  <c r="D42" i="5" s="1"/>
  <c r="K63" i="10" s="1"/>
  <c r="G30" i="5" a="1"/>
  <c r="G30" i="5" s="1"/>
  <c r="M51" i="10" s="1"/>
  <c r="G68" i="5" a="1"/>
  <c r="G68" i="5" s="1"/>
  <c r="M89" i="10" s="1"/>
  <c r="G21" i="5" a="1"/>
  <c r="G21" i="5" s="1"/>
  <c r="M42" i="10" s="1"/>
  <c r="G33" i="5" a="1"/>
  <c r="G33" i="5" s="1"/>
  <c r="M54" i="10" s="1"/>
  <c r="D30" i="5" a="1"/>
  <c r="D30" i="5" s="1"/>
  <c r="K51" i="10" s="1"/>
  <c r="D49" i="5" a="1"/>
  <c r="D49" i="5" s="1"/>
  <c r="K70" i="10" s="1"/>
  <c r="D52" i="5" a="1"/>
  <c r="D52" i="5" s="1"/>
  <c r="K73" i="10" s="1"/>
  <c r="D82" i="5" a="1"/>
  <c r="D82" i="5" s="1"/>
  <c r="K103" i="10" s="1"/>
  <c r="G7" i="5" a="1"/>
  <c r="G7" i="5" s="1"/>
  <c r="M28" i="10" s="1"/>
  <c r="P28" i="10" s="1" a="1"/>
  <c r="P28" i="10" s="1"/>
  <c r="G94" i="5" a="1"/>
  <c r="G94" i="5" s="1"/>
  <c r="M115" i="10" s="1"/>
  <c r="G13" i="5" a="1"/>
  <c r="G13" i="5" s="1"/>
  <c r="M34" i="10" s="1"/>
  <c r="G49" i="5" a="1"/>
  <c r="G49" i="5" s="1"/>
  <c r="M70" i="10" s="1"/>
  <c r="G56" i="5" a="1"/>
  <c r="G56" i="5" s="1"/>
  <c r="M77" i="10" s="1"/>
  <c r="G45" i="5" a="1"/>
  <c r="G45" i="5" s="1"/>
  <c r="M66" i="10" s="1"/>
  <c r="G66" i="5" a="1"/>
  <c r="G66" i="5" s="1"/>
  <c r="M87" i="10" s="1"/>
  <c r="P87" i="10" s="1" a="1"/>
  <c r="P87" i="10" s="1"/>
  <c r="G85" i="5" a="1"/>
  <c r="G85" i="5" s="1"/>
  <c r="M106" i="10" s="1"/>
  <c r="P106" i="10" s="1" a="1"/>
  <c r="P106" i="10" s="1"/>
  <c r="G15" i="5" a="1"/>
  <c r="G15" i="5" s="1"/>
  <c r="M36" i="10" s="1"/>
  <c r="P36" i="10" s="1" a="1"/>
  <c r="P36" i="10" s="1"/>
  <c r="G35" i="5" a="1"/>
  <c r="G35" i="5" s="1"/>
  <c r="M56" i="10" s="1"/>
  <c r="P56" i="10" s="1" a="1"/>
  <c r="P56" i="10" s="1"/>
  <c r="G67" i="5" a="1"/>
  <c r="G67" i="5" s="1"/>
  <c r="M88" i="10" s="1"/>
  <c r="P88" i="10" s="1" a="1"/>
  <c r="P88" i="10" s="1"/>
  <c r="G55" i="5" a="1"/>
  <c r="G55" i="5" s="1"/>
  <c r="M76" i="10" s="1"/>
  <c r="G43" i="5" a="1"/>
  <c r="G43" i="5" s="1"/>
  <c r="M64" i="10" s="1"/>
  <c r="P64" i="10" s="1" a="1"/>
  <c r="P64" i="10" s="1"/>
  <c r="G54" i="5" a="1"/>
  <c r="G54" i="5" s="1"/>
  <c r="M75" i="10" s="1"/>
  <c r="D28" i="5" a="1"/>
  <c r="D28" i="5" s="1"/>
  <c r="K49" i="10" s="1"/>
  <c r="D43" i="5" a="1"/>
  <c r="D43" i="5" s="1"/>
  <c r="K64" i="10" s="1"/>
  <c r="D29" i="5" a="1"/>
  <c r="D29" i="5" s="1"/>
  <c r="K50" i="10" s="1"/>
  <c r="D59" i="5" a="1"/>
  <c r="D59" i="5" s="1"/>
  <c r="K80" i="10" s="1"/>
  <c r="D85" i="5" a="1"/>
  <c r="D85" i="5" s="1"/>
  <c r="K106" i="10" s="1"/>
  <c r="O106" i="10" s="1" a="1"/>
  <c r="O106" i="10" s="1"/>
  <c r="D60" i="5" a="1"/>
  <c r="D60" i="5" s="1"/>
  <c r="K81" i="10" s="1"/>
  <c r="O81" i="10" s="1" a="1"/>
  <c r="O81" i="10" s="1"/>
  <c r="G17" i="5" a="1"/>
  <c r="G17" i="5" s="1"/>
  <c r="M38" i="10" s="1"/>
  <c r="P38" i="10" s="1" a="1"/>
  <c r="P38" i="10" s="1"/>
  <c r="G14" i="5" a="1"/>
  <c r="G14" i="5" s="1"/>
  <c r="M35" i="10" s="1"/>
  <c r="P35" i="10" s="1" a="1"/>
  <c r="P35" i="10" s="1"/>
  <c r="G65" i="5" a="1"/>
  <c r="G65" i="5" s="1"/>
  <c r="M86" i="10" s="1"/>
  <c r="P86" i="10" s="1" a="1"/>
  <c r="P86" i="10" s="1"/>
  <c r="G40" i="5" a="1"/>
  <c r="G40" i="5" s="1"/>
  <c r="M61" i="10" s="1"/>
  <c r="G42" i="5" a="1"/>
  <c r="G42" i="5" s="1"/>
  <c r="M63" i="10" s="1"/>
  <c r="P63" i="10" s="1" a="1"/>
  <c r="P63" i="10" s="1"/>
  <c r="G46" i="5" a="1"/>
  <c r="G46" i="5" s="1"/>
  <c r="M67" i="10" s="1"/>
  <c r="G50" i="5" a="1"/>
  <c r="G50" i="5" s="1"/>
  <c r="M71" i="10" s="1"/>
  <c r="P71" i="10" s="1" a="1"/>
  <c r="P71" i="10" s="1"/>
  <c r="G77" i="5" a="1"/>
  <c r="G77" i="5" s="1"/>
  <c r="M98" i="10" s="1"/>
  <c r="G25" i="5" a="1"/>
  <c r="G25" i="5" s="1"/>
  <c r="M46" i="10" s="1"/>
  <c r="G76" i="5" a="1"/>
  <c r="G76" i="5" s="1"/>
  <c r="M97" i="10" s="1"/>
  <c r="P97" i="10" s="1" a="1"/>
  <c r="P97" i="10" s="1"/>
  <c r="G98" i="5" a="1"/>
  <c r="G98" i="5" s="1"/>
  <c r="M119" i="10" s="1"/>
  <c r="P119" i="10" s="1" a="1"/>
  <c r="P119" i="10" s="1"/>
  <c r="G81" i="5" a="1"/>
  <c r="G81" i="5" s="1"/>
  <c r="M102" i="10" s="1"/>
  <c r="P102" i="10" s="1" a="1"/>
  <c r="P102" i="10" s="1"/>
  <c r="G83" i="5" a="1"/>
  <c r="G83" i="5" s="1"/>
  <c r="M104" i="10" s="1"/>
  <c r="P104" i="10" s="1" a="1"/>
  <c r="P104" i="10" s="1"/>
  <c r="G22" i="5" a="1"/>
  <c r="G22" i="5" s="1"/>
  <c r="M43" i="10" s="1"/>
  <c r="P43" i="10" s="1" a="1"/>
  <c r="P43" i="10" s="1"/>
  <c r="G48" i="5" a="1"/>
  <c r="G48" i="5" s="1"/>
  <c r="M69" i="10" s="1"/>
  <c r="P69" i="10" s="1" a="1"/>
  <c r="P69" i="10" s="1"/>
  <c r="M57" i="10"/>
  <c r="G6" i="5" a="1"/>
  <c r="G6" i="5" s="1"/>
  <c r="M27" i="10" s="1"/>
  <c r="P27" i="10" s="1" a="1"/>
  <c r="P27" i="10" s="1"/>
  <c r="G84" i="5" a="1"/>
  <c r="G84" i="5" s="1"/>
  <c r="M105" i="10" s="1"/>
  <c r="G79" i="5" a="1"/>
  <c r="G79" i="5" s="1"/>
  <c r="M100" i="10" s="1"/>
  <c r="G58" i="5" a="1"/>
  <c r="G58" i="5" s="1"/>
  <c r="M79" i="10" s="1"/>
  <c r="P79" i="10" s="1" a="1"/>
  <c r="P79" i="10" s="1"/>
  <c r="G53" i="5" a="1"/>
  <c r="G53" i="5" s="1"/>
  <c r="M74" i="10" s="1"/>
  <c r="P74" i="10" s="1" a="1"/>
  <c r="P74" i="10" s="1"/>
  <c r="G27" i="5" a="1"/>
  <c r="G27" i="5" s="1"/>
  <c r="M48" i="10" s="1"/>
  <c r="P48" i="10" s="1" a="1"/>
  <c r="P48" i="10" s="1"/>
  <c r="G20" i="5" a="1"/>
  <c r="G20" i="5" s="1"/>
  <c r="M41" i="10" s="1"/>
  <c r="P41" i="10" s="1" a="1"/>
  <c r="P41" i="10" s="1"/>
  <c r="G10" i="5" a="1"/>
  <c r="G10" i="5" s="1"/>
  <c r="M31" i="10" s="1"/>
  <c r="P31" i="10" s="1" a="1"/>
  <c r="P31" i="10" s="1"/>
  <c r="G93" i="5" a="1"/>
  <c r="G93" i="5" s="1"/>
  <c r="M114" i="10" s="1"/>
  <c r="P114" i="10" s="1" a="1"/>
  <c r="P114" i="10" s="1"/>
  <c r="G91" i="5" a="1"/>
  <c r="G91" i="5" s="1"/>
  <c r="M112" i="10" s="1"/>
  <c r="P112" i="10" s="1" a="1"/>
  <c r="P112" i="10" s="1"/>
  <c r="G61" i="5" a="1"/>
  <c r="G61" i="5" s="1"/>
  <c r="M82" i="10" s="1"/>
  <c r="P82" i="10" s="1" a="1"/>
  <c r="P82" i="10" s="1"/>
  <c r="G71" i="5" a="1"/>
  <c r="G71" i="5" s="1"/>
  <c r="M92" i="10" s="1"/>
  <c r="P92" i="10" s="1" a="1"/>
  <c r="P92" i="10" s="1"/>
  <c r="G73" i="5" a="1"/>
  <c r="G73" i="5" s="1"/>
  <c r="M94" i="10" s="1"/>
  <c r="P94" i="10" s="1" a="1"/>
  <c r="P94" i="10" s="1"/>
  <c r="G51" i="5" a="1"/>
  <c r="G51" i="5" s="1"/>
  <c r="M72" i="10" s="1"/>
  <c r="G59" i="5" a="1"/>
  <c r="G59" i="5" s="1"/>
  <c r="M80" i="10" s="1"/>
  <c r="P80" i="10" s="1" a="1"/>
  <c r="P80" i="10" s="1"/>
  <c r="G72" i="5" a="1"/>
  <c r="G72" i="5" s="1"/>
  <c r="M93" i="10" s="1"/>
  <c r="G88" i="5" a="1"/>
  <c r="G88" i="5" s="1"/>
  <c r="M109" i="10" s="1"/>
  <c r="P109" i="10" s="1" a="1"/>
  <c r="P109" i="10" s="1"/>
  <c r="G31" i="5" a="1"/>
  <c r="G31" i="5" s="1"/>
  <c r="M52" i="10" s="1"/>
  <c r="P52" i="10" s="1" a="1"/>
  <c r="P52" i="10" s="1"/>
  <c r="G80" i="5" a="1"/>
  <c r="G80" i="5" s="1"/>
  <c r="M101" i="10" s="1"/>
  <c r="P101" i="10" s="1" a="1"/>
  <c r="P101" i="10" s="1"/>
  <c r="G99" i="5" a="1"/>
  <c r="G99" i="5" s="1"/>
  <c r="M120" i="10" s="1"/>
  <c r="P120" i="10" s="1" a="1"/>
  <c r="P120" i="10" s="1"/>
  <c r="G28" i="5" a="1"/>
  <c r="G28" i="5" s="1"/>
  <c r="M49" i="10" s="1"/>
  <c r="P49" i="10" s="1" a="1"/>
  <c r="P49" i="10" s="1"/>
  <c r="G24" i="5" a="1"/>
  <c r="G24" i="5" s="1"/>
  <c r="M45" i="10" s="1"/>
  <c r="P45" i="10" s="1" a="1"/>
  <c r="P45" i="10" s="1"/>
  <c r="D63" i="5" a="1"/>
  <c r="D63" i="5" s="1"/>
  <c r="K84" i="10" s="1"/>
  <c r="O84" i="10" s="1" a="1"/>
  <c r="O84" i="10" s="1"/>
  <c r="D55" i="5" a="1"/>
  <c r="D55" i="5" s="1"/>
  <c r="K76" i="10" s="1"/>
  <c r="O76" i="10" s="1" a="1"/>
  <c r="O76" i="10" s="1"/>
  <c r="D69" i="5" a="1"/>
  <c r="D69" i="5" s="1"/>
  <c r="K90" i="10" s="1"/>
  <c r="O90" i="10" s="1" a="1"/>
  <c r="O90" i="10" s="1"/>
  <c r="D81" i="5" a="1"/>
  <c r="D81" i="5" s="1"/>
  <c r="K102" i="10" s="1"/>
  <c r="O102" i="10" s="1" a="1"/>
  <c r="O102" i="10" s="1"/>
  <c r="D10" i="5" a="1"/>
  <c r="D10" i="5" s="1"/>
  <c r="K31" i="10" s="1"/>
  <c r="D16" i="5" a="1"/>
  <c r="D16" i="5" s="1"/>
  <c r="K37" i="10" s="1"/>
  <c r="O37" i="10" s="1" a="1"/>
  <c r="O37" i="10" s="1"/>
  <c r="D9" i="5" a="1"/>
  <c r="D9" i="5" s="1"/>
  <c r="K30" i="10" s="1"/>
  <c r="D19" i="5" a="1"/>
  <c r="D19" i="5" s="1"/>
  <c r="K40" i="10" s="1"/>
  <c r="D23" i="5" a="1"/>
  <c r="D23" i="5" s="1"/>
  <c r="K44" i="10" s="1"/>
  <c r="O44" i="10" s="1" a="1"/>
  <c r="O44" i="10" s="1"/>
  <c r="D56" i="5" a="1"/>
  <c r="D56" i="5" s="1"/>
  <c r="K77" i="10" s="1"/>
  <c r="O77" i="10" s="1" a="1"/>
  <c r="O77" i="10" s="1"/>
  <c r="D46" i="5" a="1"/>
  <c r="D46" i="5" s="1"/>
  <c r="K67" i="10" s="1"/>
  <c r="O67" i="10" s="1" a="1"/>
  <c r="O67" i="10" s="1"/>
  <c r="D79" i="5" a="1"/>
  <c r="D79" i="5" s="1"/>
  <c r="K100" i="10" s="1"/>
  <c r="O100" i="10" s="1" a="1"/>
  <c r="O100" i="10" s="1"/>
  <c r="D80" i="5" a="1"/>
  <c r="D80" i="5" s="1"/>
  <c r="K101" i="10" s="1"/>
  <c r="O101" i="10" s="1" a="1"/>
  <c r="O101" i="10" s="1"/>
  <c r="D78" i="5" a="1"/>
  <c r="D78" i="5" s="1"/>
  <c r="K99" i="10" s="1"/>
  <c r="O99" i="10" s="1" a="1"/>
  <c r="O99" i="10" s="1"/>
  <c r="D17" i="5" a="1"/>
  <c r="D17" i="5" s="1"/>
  <c r="K38" i="10" s="1"/>
  <c r="O38" i="10" s="1" a="1"/>
  <c r="O38" i="10" s="1"/>
  <c r="D21" i="5" a="1"/>
  <c r="D21" i="5" s="1"/>
  <c r="K42" i="10" s="1"/>
  <c r="O42" i="10" s="1" a="1"/>
  <c r="O42" i="10" s="1"/>
  <c r="D68" i="5" a="1"/>
  <c r="D68" i="5" s="1"/>
  <c r="K89" i="10" s="1"/>
  <c r="D50" i="5" a="1"/>
  <c r="D50" i="5" s="1"/>
  <c r="K71" i="10" s="1"/>
  <c r="D47" i="5" a="1"/>
  <c r="D47" i="5" s="1"/>
  <c r="K68" i="10" s="1"/>
  <c r="D89" i="5" a="1"/>
  <c r="D89" i="5" s="1"/>
  <c r="K110" i="10" s="1"/>
  <c r="O110" i="10" s="1" a="1"/>
  <c r="O110" i="10" s="1"/>
  <c r="D11" i="5" a="1"/>
  <c r="D11" i="5" s="1"/>
  <c r="K32" i="10" s="1"/>
  <c r="O32" i="10" s="1" a="1"/>
  <c r="O32" i="10" s="1"/>
  <c r="D18" i="5" a="1"/>
  <c r="D18" i="5" s="1"/>
  <c r="K39" i="10" s="1"/>
  <c r="O39" i="10" s="1" a="1"/>
  <c r="O39" i="10" s="1"/>
  <c r="D96" i="5" a="1"/>
  <c r="D96" i="5" s="1"/>
  <c r="K117" i="10" s="1"/>
  <c r="O117" i="10" s="1" a="1"/>
  <c r="O117" i="10" s="1"/>
  <c r="D40" i="5" a="1"/>
  <c r="D40" i="5" s="1"/>
  <c r="K61" i="10" s="1"/>
  <c r="O61" i="10" s="1" a="1"/>
  <c r="O61" i="10" s="1"/>
  <c r="D93" i="5" a="1"/>
  <c r="D93" i="5" s="1"/>
  <c r="K114" i="10" s="1"/>
  <c r="O114" i="10" s="1" a="1"/>
  <c r="O114" i="10" s="1"/>
  <c r="D94" i="5" a="1"/>
  <c r="D94" i="5" s="1"/>
  <c r="K115" i="10" s="1"/>
  <c r="O115" i="10" s="1" a="1"/>
  <c r="O115" i="10" s="1"/>
  <c r="D22" i="5" a="1"/>
  <c r="D22" i="5" s="1"/>
  <c r="K43" i="10" s="1"/>
  <c r="O43" i="10" s="1" a="1"/>
  <c r="O43" i="10" s="1"/>
  <c r="D44" i="5" a="1"/>
  <c r="D44" i="5" s="1"/>
  <c r="K65" i="10" s="1"/>
  <c r="O65" i="10" s="1" a="1"/>
  <c r="O65" i="10" s="1"/>
  <c r="D33" i="5" a="1"/>
  <c r="D33" i="5" s="1"/>
  <c r="K54" i="10" s="1"/>
  <c r="O54" i="10" s="1" a="1"/>
  <c r="O54" i="10" s="1"/>
  <c r="D58" i="5" a="1"/>
  <c r="D58" i="5" s="1"/>
  <c r="K79" i="10" s="1"/>
  <c r="O79" i="10" s="1" a="1"/>
  <c r="O79" i="10" s="1"/>
  <c r="D70" i="5" a="1"/>
  <c r="D70" i="5" s="1"/>
  <c r="K91" i="10" s="1"/>
  <c r="O91" i="10" s="1" a="1"/>
  <c r="O91" i="10" s="1"/>
  <c r="D90" i="5" a="1"/>
  <c r="D90" i="5" s="1"/>
  <c r="K111" i="10" s="1"/>
  <c r="D35" i="5" a="1"/>
  <c r="D35" i="5" s="1"/>
  <c r="K56" i="10" s="1"/>
  <c r="O56" i="10" s="1" a="1"/>
  <c r="O56" i="10" s="1"/>
  <c r="O28" i="10" a="1"/>
  <c r="O28" i="10" s="1"/>
  <c r="G57" i="5" a="1"/>
  <c r="G57" i="5" s="1"/>
  <c r="M78" i="10" s="1"/>
  <c r="P78" i="10" s="1" a="1"/>
  <c r="P78" i="10" s="1"/>
  <c r="D36" i="5" a="1"/>
  <c r="D36" i="5" s="1"/>
  <c r="K57" i="10" s="1"/>
  <c r="O57" i="10" s="1" a="1"/>
  <c r="O57" i="10" s="1"/>
  <c r="P100" i="10" a="1"/>
  <c r="P100" i="10" s="1"/>
  <c r="O30" i="10" a="1"/>
  <c r="O30" i="10" s="1"/>
  <c r="G70" i="5" a="1"/>
  <c r="G70" i="5" s="1"/>
  <c r="M91" i="10" s="1"/>
  <c r="P91" i="10" s="1" a="1"/>
  <c r="P91" i="10" s="1"/>
  <c r="G5" i="5" a="1"/>
  <c r="G5" i="5" s="1"/>
  <c r="M26" i="10" s="1"/>
  <c r="P26" i="10" s="1" a="1"/>
  <c r="P26" i="10" s="1"/>
  <c r="O49" i="10" a="1"/>
  <c r="O49" i="10" s="1"/>
  <c r="D95" i="5" a="1"/>
  <c r="D95" i="5" s="1"/>
  <c r="K116" i="10" s="1"/>
  <c r="O116" i="10" s="1" a="1"/>
  <c r="O116" i="10" s="1"/>
  <c r="D54" i="5" a="1"/>
  <c r="D54" i="5" s="1"/>
  <c r="K75" i="10" s="1"/>
  <c r="O75" i="10" s="1" a="1"/>
  <c r="O75" i="10" s="1"/>
  <c r="D27" i="5" a="1"/>
  <c r="D27" i="5" s="1"/>
  <c r="K48" i="10" s="1"/>
  <c r="O48" i="10" s="1" a="1"/>
  <c r="O48" i="10" s="1"/>
  <c r="O71" i="10" a="1"/>
  <c r="O71" i="10" s="1"/>
  <c r="P51" i="10" a="1"/>
  <c r="P51" i="10" s="1"/>
  <c r="O51" i="10" a="1"/>
  <c r="O51" i="10" s="1"/>
  <c r="O36" i="10" a="1"/>
  <c r="O36" i="10" s="1"/>
  <c r="G34" i="5" a="1"/>
  <c r="G34" i="5" s="1"/>
  <c r="M55" i="10" s="1"/>
  <c r="P55" i="10" s="1" a="1"/>
  <c r="P55" i="10" s="1"/>
  <c r="G75" i="5" a="1"/>
  <c r="G75" i="5" s="1"/>
  <c r="M96" i="10" s="1"/>
  <c r="P96" i="10" s="1" a="1"/>
  <c r="P96" i="10" s="1"/>
  <c r="G12" i="5" a="1"/>
  <c r="G12" i="5" s="1"/>
  <c r="M33" i="10" s="1"/>
  <c r="P33" i="10" s="1" a="1"/>
  <c r="P33" i="10" s="1"/>
  <c r="D51" i="5" a="1"/>
  <c r="D51" i="5" s="1"/>
  <c r="O59" i="10" a="1"/>
  <c r="O59" i="10" s="1"/>
  <c r="D14" i="5" a="1"/>
  <c r="D14" i="5" s="1"/>
  <c r="K35" i="10" s="1"/>
  <c r="O35" i="10" s="1" a="1"/>
  <c r="O35" i="10" s="1"/>
  <c r="D57" i="5" a="1"/>
  <c r="D57" i="5" s="1"/>
  <c r="K78" i="10" s="1"/>
  <c r="O78" i="10" s="1" a="1"/>
  <c r="O78" i="10" s="1"/>
  <c r="D6" i="5" a="1"/>
  <c r="D6" i="5" s="1"/>
  <c r="K27" i="10" s="1"/>
  <c r="O27" i="10" s="1" a="1"/>
  <c r="O27" i="10" s="1"/>
  <c r="D31" i="5" a="1"/>
  <c r="D31" i="5" s="1"/>
  <c r="K52" i="10" s="1"/>
  <c r="O52" i="10" s="1" a="1"/>
  <c r="O52" i="10" s="1"/>
  <c r="O80" i="10" a="1"/>
  <c r="O80" i="10" s="1"/>
  <c r="O121" i="10" a="1"/>
  <c r="O121" i="10" s="1"/>
  <c r="O41" i="10" a="1"/>
  <c r="O41" i="10" s="1"/>
  <c r="G62" i="5" a="1"/>
  <c r="G62" i="5" s="1"/>
  <c r="M83" i="10" s="1"/>
  <c r="P83" i="10" s="1" a="1"/>
  <c r="P83" i="10" s="1"/>
  <c r="D86" i="5" a="1"/>
  <c r="D86" i="5" s="1"/>
  <c r="K107" i="10" s="1"/>
  <c r="O107" i="10" s="1" a="1"/>
  <c r="O107" i="10" s="1"/>
  <c r="D48" i="5" a="1"/>
  <c r="D48" i="5" s="1"/>
  <c r="K69" i="10" s="1"/>
  <c r="O69" i="10" s="1" a="1"/>
  <c r="O69" i="10" s="1"/>
  <c r="D12" i="5" a="1"/>
  <c r="D12" i="5" s="1"/>
  <c r="K33" i="10" s="1"/>
  <c r="O33" i="10" s="1" a="1"/>
  <c r="O33" i="10" s="1"/>
  <c r="D84" i="5" a="1"/>
  <c r="D84" i="5" s="1"/>
  <c r="K105" i="10" s="1"/>
  <c r="O105" i="10" s="1" a="1"/>
  <c r="O105" i="10" s="1"/>
  <c r="D65" i="5" a="1"/>
  <c r="D65" i="5" s="1"/>
  <c r="K86" i="10" s="1"/>
  <c r="O86" i="10" s="1" a="1"/>
  <c r="O86" i="10" s="1"/>
  <c r="P76" i="10" a="1"/>
  <c r="P76" i="10" s="1"/>
  <c r="P72" i="10" a="1"/>
  <c r="P72" i="10" s="1"/>
  <c r="D45" i="5" a="1"/>
  <c r="D45" i="5" s="1"/>
  <c r="K66" i="10" s="1"/>
  <c r="O66" i="10" s="1" a="1"/>
  <c r="O66" i="10" s="1"/>
  <c r="O111" i="10" a="1"/>
  <c r="O111" i="10" s="1"/>
  <c r="G87" i="5" a="1"/>
  <c r="G87" i="5" s="1"/>
  <c r="M108" i="10" s="1"/>
  <c r="P108" i="10" s="1" a="1"/>
  <c r="P108" i="10" s="1"/>
  <c r="K72" i="10"/>
  <c r="O72" i="10" s="1" a="1"/>
  <c r="O72" i="10" s="1"/>
  <c r="G90" i="5" a="1"/>
  <c r="G90" i="5" s="1"/>
  <c r="M111" i="10" s="1"/>
  <c r="P111" i="10" s="1" a="1"/>
  <c r="P111" i="10" s="1"/>
  <c r="G26" i="5" a="1"/>
  <c r="G26" i="5" s="1"/>
  <c r="M47" i="10" s="1"/>
  <c r="P47" i="10" s="1" a="1"/>
  <c r="P47" i="10" s="1"/>
  <c r="D92" i="5" a="1"/>
  <c r="D92" i="5" s="1"/>
  <c r="K113" i="10" s="1"/>
  <c r="O113" i="10" s="1" a="1"/>
  <c r="O113" i="10" s="1"/>
  <c r="G11" i="5" a="1"/>
  <c r="G11" i="5" s="1"/>
  <c r="M32" i="10" s="1"/>
  <c r="P32" i="10" s="1" a="1"/>
  <c r="P32" i="10" s="1"/>
  <c r="G78" i="5" a="1"/>
  <c r="G78" i="5" s="1"/>
  <c r="M99" i="10" s="1"/>
  <c r="P99" i="10" s="1" a="1"/>
  <c r="P99" i="10" s="1"/>
  <c r="O62" i="10" a="1"/>
  <c r="O62" i="10" s="1"/>
  <c r="P93" i="10" a="1"/>
  <c r="P93" i="10" s="1"/>
  <c r="D26" i="5" a="1"/>
  <c r="D26" i="5" s="1"/>
  <c r="K47" i="10" s="1"/>
  <c r="O47" i="10" s="1" a="1"/>
  <c r="O47" i="10" s="1"/>
  <c r="D83" i="5" a="1"/>
  <c r="D83" i="5" s="1"/>
  <c r="K104" i="10" s="1"/>
  <c r="O104" i="10" s="1" a="1"/>
  <c r="O104" i="10" s="1"/>
  <c r="G100" i="5" a="1"/>
  <c r="G100" i="5" s="1"/>
  <c r="M121" i="10" s="1"/>
  <c r="P121" i="10" s="1" a="1"/>
  <c r="P121" i="10" s="1"/>
  <c r="G92" i="5" a="1"/>
  <c r="G92" i="5" s="1"/>
  <c r="M113" i="10" s="1"/>
  <c r="P113" i="10" s="1" a="1"/>
  <c r="P113" i="10" s="1"/>
  <c r="G9" i="5" a="1"/>
  <c r="G9" i="5" s="1"/>
  <c r="M30" i="10" s="1"/>
  <c r="P30" i="10" s="1" a="1"/>
  <c r="P30" i="10" s="1"/>
  <c r="D72" i="5" a="1"/>
  <c r="D72" i="5" s="1"/>
  <c r="K93" i="10" s="1"/>
  <c r="O93" i="10" s="1" a="1"/>
  <c r="O93" i="10" s="1"/>
  <c r="D62" i="5" a="1"/>
  <c r="D62" i="5" s="1"/>
  <c r="K83" i="10" s="1"/>
  <c r="O83" i="10" s="1" a="1"/>
  <c r="O83" i="10" s="1"/>
  <c r="O94" i="10" a="1"/>
  <c r="O94" i="10" s="1"/>
  <c r="D37" i="5" a="1"/>
  <c r="D37" i="5" s="1"/>
  <c r="K58" i="10" s="1"/>
  <c r="O58" i="10" s="1" a="1"/>
  <c r="O58" i="10" s="1"/>
  <c r="G38" i="5" a="1"/>
  <c r="G38" i="5" s="1"/>
  <c r="M59" i="10" s="1"/>
  <c r="P59" i="10" s="1" a="1"/>
  <c r="P59" i="10" s="1"/>
  <c r="O73" i="10" a="1"/>
  <c r="O73" i="10" s="1"/>
  <c r="O29" i="10" a="1"/>
  <c r="O29" i="10" s="1"/>
  <c r="O109" i="10" a="1"/>
  <c r="O109" i="10" s="1"/>
  <c r="G18" i="5" a="1"/>
  <c r="G18" i="5" s="1"/>
  <c r="M39" i="10" s="1"/>
  <c r="P39" i="10" s="1" a="1"/>
  <c r="P39" i="10" s="1"/>
  <c r="D76" i="5" a="1"/>
  <c r="D76" i="5" s="1"/>
  <c r="K97" i="10" s="1"/>
  <c r="O97" i="10" s="1" a="1"/>
  <c r="O97" i="10" s="1"/>
  <c r="G52" i="5" a="1"/>
  <c r="G52" i="5" s="1"/>
  <c r="M73" i="10" s="1"/>
  <c r="P73" i="10" s="1" a="1"/>
  <c r="P73" i="10" s="1"/>
  <c r="G37" i="5" a="1"/>
  <c r="G37" i="5" s="1"/>
  <c r="M58" i="10" s="1"/>
  <c r="P58" i="10" s="1" a="1"/>
  <c r="P58" i="10" s="1"/>
  <c r="P67" i="10" a="1"/>
  <c r="P67" i="10" s="1"/>
  <c r="P75" i="10" a="1"/>
  <c r="P75" i="10" s="1"/>
  <c r="D74" i="5" a="1"/>
  <c r="D74" i="5" s="1"/>
  <c r="K95" i="10" s="1"/>
  <c r="O95" i="10" s="1" a="1"/>
  <c r="O95" i="10" s="1"/>
  <c r="D75" i="5" a="1"/>
  <c r="D75" i="5" s="1"/>
  <c r="K96" i="10" s="1"/>
  <c r="O96" i="10" s="1" a="1"/>
  <c r="O96" i="10" s="1"/>
  <c r="O63" i="10" a="1"/>
  <c r="O63" i="10" s="1"/>
  <c r="P34" i="10" a="1"/>
  <c r="P34" i="10" s="1"/>
  <c r="G86" i="5" a="1"/>
  <c r="G86" i="5" s="1"/>
  <c r="M107" i="10" s="1"/>
  <c r="P107" i="10" s="1" a="1"/>
  <c r="P107" i="10" s="1"/>
  <c r="G23" i="5" a="1"/>
  <c r="G23" i="5" s="1"/>
  <c r="M44" i="10" s="1"/>
  <c r="P44" i="10" s="1" a="1"/>
  <c r="P44" i="10" s="1"/>
  <c r="G39" i="5" a="1"/>
  <c r="G39" i="5" s="1"/>
  <c r="M60" i="10" s="1"/>
  <c r="P60" i="10" s="1" a="1"/>
  <c r="P60" i="10" s="1"/>
  <c r="P115" i="10" a="1"/>
  <c r="P115" i="10" s="1"/>
  <c r="G97" i="5" a="1"/>
  <c r="G97" i="5" s="1"/>
  <c r="M118" i="10" s="1"/>
  <c r="P118" i="10" s="1" a="1"/>
  <c r="P118" i="10" s="1"/>
  <c r="O53" i="10" a="1"/>
  <c r="O53" i="10" s="1"/>
  <c r="D53" i="5" a="1"/>
  <c r="D53" i="5" s="1"/>
  <c r="K74" i="10" s="1"/>
  <c r="O74" i="10" s="1" a="1"/>
  <c r="O74" i="10" s="1"/>
  <c r="P61" i="10" a="1"/>
  <c r="P61" i="10" s="1"/>
  <c r="O64" i="10" a="1"/>
  <c r="O64" i="10" s="1"/>
  <c r="D98" i="5" a="1"/>
  <c r="D98" i="5" s="1"/>
  <c r="K119" i="10" s="1"/>
  <c r="O119" i="10" s="1" a="1"/>
  <c r="O119" i="10" s="1"/>
  <c r="D64" i="5" a="1"/>
  <c r="D64" i="5" s="1"/>
  <c r="K85" i="10" s="1"/>
  <c r="O85" i="10" s="1" a="1"/>
  <c r="O85" i="10" s="1"/>
  <c r="D67" i="5" a="1"/>
  <c r="D67" i="5" s="1"/>
  <c r="K88" i="10" s="1"/>
  <c r="O88" i="10" s="1" a="1"/>
  <c r="O88" i="10" s="1"/>
  <c r="G60" i="5" a="1"/>
  <c r="G60" i="5" s="1"/>
  <c r="M81" i="10" s="1"/>
  <c r="P81" i="10" s="1" a="1"/>
  <c r="P81" i="10" s="1"/>
  <c r="D25" i="5" a="1"/>
  <c r="D25" i="5" s="1"/>
  <c r="K46" i="10" s="1"/>
  <c r="O46" i="10" s="1" a="1"/>
  <c r="O46" i="10" s="1"/>
  <c r="G74" i="5" a="1"/>
  <c r="G74" i="5" s="1"/>
  <c r="M95" i="10" s="1"/>
  <c r="P95" i="10" s="1" a="1"/>
  <c r="P95" i="10" s="1"/>
  <c r="D13" i="5" a="1"/>
  <c r="D13" i="5" s="1"/>
  <c r="K34" i="10" s="1"/>
  <c r="O34" i="10" s="1" a="1"/>
  <c r="O34" i="10" s="1"/>
  <c r="G44" i="5" a="1"/>
  <c r="G44" i="5" s="1"/>
  <c r="M65" i="10" s="1"/>
  <c r="P65" i="10" s="1" a="1"/>
  <c r="P65" i="10" s="1"/>
  <c r="G64" i="5" a="1"/>
  <c r="G64" i="5" s="1"/>
  <c r="M85" i="10" s="1"/>
  <c r="P85" i="10" s="1" a="1"/>
  <c r="P85" i="10" s="1"/>
  <c r="G32" i="5" a="1"/>
  <c r="G32" i="5" s="1"/>
  <c r="M53" i="10" s="1"/>
  <c r="P53" i="10" s="1" a="1"/>
  <c r="P53" i="10" s="1"/>
  <c r="O68" i="10" a="1"/>
  <c r="O68" i="10" s="1"/>
  <c r="D71" i="5" a="1"/>
  <c r="D71" i="5" s="1"/>
  <c r="K92" i="10" s="1"/>
  <c r="O92" i="10" s="1" a="1"/>
  <c r="O92" i="10" s="1"/>
  <c r="G69" i="5" a="1"/>
  <c r="G69" i="5" s="1"/>
  <c r="M90" i="10" s="1"/>
  <c r="P90" i="10" s="1" a="1"/>
  <c r="P90" i="10" s="1"/>
  <c r="D91" i="5" a="1"/>
  <c r="D91" i="5" s="1"/>
  <c r="K112" i="10" s="1"/>
  <c r="O112" i="10" s="1" a="1"/>
  <c r="O112" i="10" s="1"/>
  <c r="G41" i="5" a="1"/>
  <c r="G41" i="5" s="1"/>
  <c r="M62" i="10" s="1"/>
  <c r="P62" i="10" s="1" a="1"/>
  <c r="P62" i="10" s="1"/>
  <c r="P70" i="10" a="1"/>
  <c r="P70" i="10" s="1"/>
  <c r="O70" i="10" a="1"/>
  <c r="O70" i="10" s="1"/>
  <c r="O40" i="10" a="1"/>
  <c r="O40" i="10" s="1"/>
  <c r="P105" i="10" a="1"/>
  <c r="P105" i="10" s="1"/>
  <c r="P42" i="10" a="1"/>
  <c r="P42" i="10" s="1"/>
  <c r="D24" i="5" a="1"/>
  <c r="D24" i="5" s="1"/>
  <c r="K45" i="10" s="1"/>
  <c r="O45" i="10" s="1" a="1"/>
  <c r="O45" i="10" s="1"/>
  <c r="G82" i="5" a="1"/>
  <c r="G82" i="5" s="1"/>
  <c r="M103" i="10" s="1"/>
  <c r="P103" i="10" s="1" a="1"/>
  <c r="P103" i="10" s="1"/>
  <c r="G16" i="5" a="1"/>
  <c r="G16" i="5" s="1"/>
  <c r="M37" i="10" s="1"/>
  <c r="P37" i="10" s="1" a="1"/>
  <c r="P37" i="10" s="1"/>
  <c r="P46" i="10" a="1"/>
  <c r="P46" i="10" s="1"/>
  <c r="G96" i="5" a="1"/>
  <c r="G96" i="5" s="1"/>
  <c r="M117" i="10" s="1"/>
  <c r="P117" i="10" s="1" a="1"/>
  <c r="P117" i="10" s="1"/>
  <c r="G29" i="5" a="1"/>
  <c r="G29" i="5" s="1"/>
  <c r="M50" i="10" s="1"/>
  <c r="P50" i="10" s="1" a="1"/>
  <c r="P50" i="10" s="1"/>
  <c r="G19" i="5" a="1"/>
  <c r="G19" i="5" s="1"/>
  <c r="M40" i="10" s="1"/>
  <c r="P40" i="10" s="1" a="1"/>
  <c r="P40" i="10" s="1"/>
  <c r="D34" i="5" a="1"/>
  <c r="D34" i="5" s="1"/>
  <c r="K55" i="10" s="1"/>
  <c r="O55" i="10" s="1" a="1"/>
  <c r="O55" i="10" s="1"/>
  <c r="P57" i="10" a="1"/>
  <c r="P57" i="10" s="1"/>
  <c r="O31" i="10" a="1"/>
  <c r="O31" i="10" s="1"/>
  <c r="P54" i="10" a="1"/>
  <c r="P54" i="10" s="1"/>
  <c r="G63" i="5" a="1"/>
  <c r="G63" i="5" s="1"/>
  <c r="M84" i="10" s="1"/>
  <c r="P84" i="10" s="1" a="1"/>
  <c r="P84" i="10" s="1"/>
  <c r="G47" i="5" a="1"/>
  <c r="G47" i="5" s="1"/>
  <c r="M68" i="10" s="1"/>
  <c r="P68" i="10" s="1" a="1"/>
  <c r="P68" i="10" s="1"/>
  <c r="D66" i="5" a="1"/>
  <c r="D66" i="5" s="1"/>
  <c r="K87" i="10" s="1"/>
  <c r="O87" i="10" s="1" a="1"/>
  <c r="O87" i="10" s="1"/>
  <c r="G95" i="5" a="1"/>
  <c r="G95" i="5" s="1"/>
  <c r="M116" i="10" s="1"/>
  <c r="P116" i="10" s="1" a="1"/>
  <c r="P116" i="10" s="1"/>
  <c r="G8" i="5" a="1"/>
  <c r="G8" i="5" s="1"/>
  <c r="M29" i="10" s="1"/>
  <c r="P29" i="10" s="1" a="1"/>
  <c r="P29" i="10" s="1"/>
  <c r="P77" i="10" a="1"/>
  <c r="P77" i="10" s="1"/>
  <c r="O103" i="10" a="1"/>
  <c r="O103" i="10" s="1"/>
  <c r="D61" i="5" a="1"/>
  <c r="D61" i="5" s="1"/>
  <c r="K82" i="10" s="1"/>
  <c r="O82" i="10" s="1" a="1"/>
  <c r="O82" i="10" s="1"/>
  <c r="D99" i="5" a="1"/>
  <c r="D99" i="5" s="1"/>
  <c r="K120" i="10" s="1"/>
  <c r="O120" i="10" s="1" a="1"/>
  <c r="O120" i="10" s="1"/>
  <c r="D97" i="5" a="1"/>
  <c r="D97" i="5" s="1"/>
  <c r="K118" i="10" s="1"/>
  <c r="O118" i="10" s="1" a="1"/>
  <c r="O118" i="10" s="1"/>
  <c r="D87" i="5" a="1"/>
  <c r="D87" i="5" s="1"/>
  <c r="K108" i="10" s="1"/>
  <c r="O108" i="10" s="1" a="1"/>
  <c r="O108" i="10" s="1"/>
  <c r="P66" i="10" a="1"/>
  <c r="P66" i="10" s="1"/>
  <c r="D39" i="5" a="1"/>
  <c r="D39" i="5" s="1"/>
  <c r="K60" i="10" s="1"/>
  <c r="O60" i="10" s="1" a="1"/>
  <c r="O60" i="10" s="1"/>
  <c r="O98" i="10" a="1"/>
  <c r="O98" i="10" s="1"/>
  <c r="P98" i="10" a="1"/>
  <c r="P98" i="10" s="1"/>
  <c r="O50" i="10" a="1"/>
  <c r="O50" i="10" s="1"/>
  <c r="P89" i="10" a="1"/>
  <c r="P89" i="10" s="1"/>
  <c r="O89" i="10" a="1"/>
  <c r="O89" i="10" s="1"/>
  <c r="G89" i="5" a="1"/>
  <c r="G89" i="5" s="1"/>
  <c r="M110" i="10" s="1"/>
  <c r="P110" i="10" s="1" a="1"/>
  <c r="P110" i="10" s="1"/>
  <c r="D5" i="5" a="1"/>
  <c r="D5" i="5" s="1"/>
  <c r="K26" i="10" s="1"/>
  <c r="O26" i="10" s="1" a="1"/>
  <c r="O26" i="10" s="1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30" i="10"/>
  <c r="B31" i="10"/>
  <c r="B32" i="10"/>
  <c r="B33" i="10"/>
  <c r="B34" i="10"/>
  <c r="B35" i="10"/>
  <c r="B36" i="10"/>
  <c r="B37" i="10"/>
  <c r="B38" i="10"/>
  <c r="B39" i="10"/>
  <c r="B40" i="10"/>
  <c r="B26" i="10"/>
  <c r="B28" i="10" l="1"/>
  <c r="B27" i="10"/>
  <c r="B29" i="10"/>
  <c r="C121" i="10" l="1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38" i="10" l="1"/>
  <c r="C54" i="10"/>
  <c r="C33" i="10"/>
  <c r="C45" i="10"/>
  <c r="C52" i="10"/>
  <c r="C32" i="10"/>
  <c r="C43" i="10"/>
  <c r="C59" i="10"/>
  <c r="C49" i="10"/>
  <c r="C57" i="10"/>
  <c r="C46" i="10"/>
  <c r="C30" i="10"/>
  <c r="C37" i="10"/>
  <c r="C53" i="10"/>
  <c r="C36" i="10"/>
  <c r="C51" i="10"/>
  <c r="C50" i="10"/>
  <c r="C35" i="10"/>
  <c r="C41" i="10"/>
  <c r="C31" i="10"/>
  <c r="C40" i="10"/>
  <c r="C48" i="10"/>
  <c r="C56" i="10"/>
  <c r="C44" i="10"/>
  <c r="C27" i="10"/>
  <c r="C29" i="10"/>
  <c r="C42" i="10"/>
  <c r="C58" i="10"/>
  <c r="C28" i="10"/>
  <c r="C34" i="10"/>
  <c r="C39" i="10"/>
  <c r="C47" i="10"/>
  <c r="C55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<sst xmlns="http://schemas.openxmlformats.org/spreadsheetml/2006/main" count="4804" uniqueCount="297">
  <si>
    <t>Sample Name</t>
  </si>
  <si>
    <t>Position</t>
  </si>
  <si>
    <t>&lt;</t>
  </si>
  <si>
    <t>&gt;</t>
  </si>
  <si>
    <t>Sample Interpretation</t>
  </si>
  <si>
    <t>Normalising gene not detected thus VITA Index Invalid, repeat test/re-extract sample</t>
  </si>
  <si>
    <t>Reported results are presented in the Results Summary spreadsheet</t>
  </si>
  <si>
    <t>Sample status is indicated by the following:</t>
  </si>
  <si>
    <t>Result</t>
  </si>
  <si>
    <t>Reporters</t>
  </si>
  <si>
    <t>FAM</t>
  </si>
  <si>
    <t>VIC</t>
  </si>
  <si>
    <t>ATTO101</t>
  </si>
  <si>
    <t>CY5</t>
  </si>
  <si>
    <t>CY5.5</t>
  </si>
  <si>
    <t>Well</t>
  </si>
  <si>
    <t>Well Position</t>
  </si>
  <si>
    <t>Omit</t>
  </si>
  <si>
    <t>Sample</t>
  </si>
  <si>
    <t>Target</t>
  </si>
  <si>
    <t>Task</t>
  </si>
  <si>
    <t>Reporter</t>
  </si>
  <si>
    <t>Quencher</t>
  </si>
  <si>
    <t>Amp Status</t>
  </si>
  <si>
    <t>Amp Score</t>
  </si>
  <si>
    <t>Curve Quality</t>
  </si>
  <si>
    <t>Result Quality Issues</t>
  </si>
  <si>
    <t>Cq</t>
  </si>
  <si>
    <t>Cq Confidence</t>
  </si>
  <si>
    <t>Cq Mean</t>
  </si>
  <si>
    <t>Cq SD</t>
  </si>
  <si>
    <t>Auto Threshold</t>
  </si>
  <si>
    <t>Threshold</t>
  </si>
  <si>
    <t>Auto Baseline</t>
  </si>
  <si>
    <t>Baseline Start</t>
  </si>
  <si>
    <t>Baseline End</t>
  </si>
  <si>
    <t>B1</t>
  </si>
  <si>
    <t>NG GAT</t>
  </si>
  <si>
    <t>UNKNOWN</t>
  </si>
  <si>
    <t>None</t>
  </si>
  <si>
    <t>No Amp</t>
  </si>
  <si>
    <t>Undetermined</t>
  </si>
  <si>
    <t>NG NED</t>
  </si>
  <si>
    <t>CT NED</t>
  </si>
  <si>
    <t>EC</t>
  </si>
  <si>
    <t>CT GAT</t>
  </si>
  <si>
    <t>B2</t>
  </si>
  <si>
    <t>Amp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</si>
  <si>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</si>
  <si>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</si>
  <si>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</si>
  <si>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</si>
  <si>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</si>
  <si>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</si>
  <si>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</si>
  <si>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</si>
  <si>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</si>
  <si>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</si>
  <si>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</si>
  <si>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</si>
  <si>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</si>
  <si>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E1</t>
  </si>
  <si>
    <t>F1</t>
  </si>
  <si>
    <t>A1</t>
  </si>
  <si>
    <t>A2</t>
  </si>
  <si>
    <t>A3</t>
  </si>
  <si>
    <t>A4</t>
  </si>
  <si>
    <t>A5</t>
  </si>
  <si>
    <t>E2</t>
  </si>
  <si>
    <t>E3</t>
  </si>
  <si>
    <t>E4</t>
  </si>
  <si>
    <t>E5</t>
  </si>
  <si>
    <t>F2</t>
  </si>
  <si>
    <t>F3</t>
  </si>
  <si>
    <t>F4</t>
  </si>
  <si>
    <t>F5</t>
  </si>
  <si>
    <t>CT target</t>
  </si>
  <si>
    <t>CT VITA Index</t>
  </si>
  <si>
    <t>NG target</t>
  </si>
  <si>
    <t>NG VITA Index</t>
  </si>
  <si>
    <t>Endogenous Control cut-offs</t>
  </si>
  <si>
    <t>CT not detected</t>
  </si>
  <si>
    <t>Endogenous Control</t>
  </si>
  <si>
    <t>CT detected</t>
  </si>
  <si>
    <t>EC VALID</t>
  </si>
  <si>
    <t>N/A</t>
  </si>
  <si>
    <t>NG not detected</t>
  </si>
  <si>
    <t>EC INVALID</t>
  </si>
  <si>
    <t>Targets not detected and Endogenous control not valid repeat test/re-extract sample</t>
  </si>
  <si>
    <t>Targets not detected, Endogenous control Valid</t>
  </si>
  <si>
    <t>EC Validity</t>
  </si>
  <si>
    <r>
      <t xml:space="preserve">CT </t>
    </r>
    <r>
      <rPr>
        <b/>
        <sz val="11"/>
        <color theme="1"/>
        <rFont val="Aptos Narrow"/>
        <family val="2"/>
      </rPr>
      <t>ΔCq</t>
    </r>
    <r>
      <rPr>
        <b/>
        <sz val="11"/>
        <color theme="1"/>
        <rFont val="Calibri"/>
        <family val="2"/>
        <scheme val="minor"/>
      </rPr>
      <t xml:space="preserve"> (NED-GAT)</t>
    </r>
  </si>
  <si>
    <r>
      <t xml:space="preserve">NG </t>
    </r>
    <r>
      <rPr>
        <b/>
        <sz val="11"/>
        <color theme="1"/>
        <rFont val="Aptos Narrow"/>
        <family val="2"/>
      </rPr>
      <t>ΔCq</t>
    </r>
    <r>
      <rPr>
        <b/>
        <sz val="11"/>
        <color theme="1"/>
        <rFont val="Calibri"/>
        <family val="2"/>
        <scheme val="minor"/>
      </rPr>
      <t xml:space="preserve"> (NED-GAT)</t>
    </r>
  </si>
  <si>
    <r>
      <t xml:space="preserve">Normalising gene not detected thus VITA Index Invalid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Endogenous control not valid repeat test/re-extract sample</t>
    </r>
  </si>
  <si>
    <t>NG detected</t>
  </si>
  <si>
    <t>NOTE: Amplification curves should be confirmed for all samples reporting a Valid VITA Index</t>
  </si>
  <si>
    <r>
      <rPr>
        <b/>
        <sz val="11"/>
        <color theme="1"/>
        <rFont val="Calibri"/>
        <family val="2"/>
        <scheme val="minor"/>
      </rPr>
      <t>CT target detection</t>
    </r>
    <r>
      <rPr>
        <sz val="11"/>
        <color theme="1"/>
        <rFont val="Calibri"/>
        <family val="2"/>
        <scheme val="minor"/>
      </rPr>
      <t xml:space="preserve"> is indicated as: </t>
    </r>
  </si>
  <si>
    <r>
      <rPr>
        <b/>
        <sz val="11"/>
        <color theme="9" tint="-0.249977111117893"/>
        <rFont val="Calibri"/>
        <family val="2"/>
        <scheme val="minor"/>
      </rPr>
      <t>CT not detected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rgb="FF0000FF"/>
        <rFont val="Calibri"/>
        <family val="2"/>
        <scheme val="minor"/>
      </rPr>
      <t>CT detected</t>
    </r>
  </si>
  <si>
    <r>
      <rPr>
        <b/>
        <sz val="11"/>
        <color theme="1"/>
        <rFont val="Calibri"/>
        <family val="2"/>
        <scheme val="minor"/>
      </rPr>
      <t>NG target detection</t>
    </r>
    <r>
      <rPr>
        <sz val="11"/>
        <color theme="1"/>
        <rFont val="Calibri"/>
        <family val="2"/>
        <scheme val="minor"/>
      </rPr>
      <t xml:space="preserve"> is indicated as: </t>
    </r>
  </si>
  <si>
    <r>
      <rPr>
        <b/>
        <sz val="11"/>
        <color theme="9" tint="-0.249977111117893"/>
        <rFont val="Calibri"/>
        <family val="2"/>
        <scheme val="minor"/>
      </rPr>
      <t>NG not detected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rgb="FF0000FF"/>
        <rFont val="Calibri"/>
        <family val="2"/>
        <scheme val="minor"/>
      </rPr>
      <t>NG detected</t>
    </r>
  </si>
  <si>
    <r>
      <rPr>
        <b/>
        <sz val="11"/>
        <color theme="1"/>
        <rFont val="Calibri"/>
        <family val="2"/>
        <scheme val="minor"/>
      </rPr>
      <t>CT VITA Index</t>
    </r>
    <r>
      <rPr>
        <sz val="11"/>
        <color theme="1"/>
        <rFont val="Calibri"/>
        <family val="2"/>
        <scheme val="minor"/>
      </rPr>
      <t xml:space="preserve"> is indicated as: </t>
    </r>
  </si>
  <si>
    <r>
      <rPr>
        <b/>
        <sz val="11"/>
        <color theme="1"/>
        <rFont val="Calibri"/>
        <family val="2"/>
        <scheme val="minor"/>
      </rPr>
      <t>NG VITA Index</t>
    </r>
    <r>
      <rPr>
        <sz val="11"/>
        <color theme="1"/>
        <rFont val="Calibri"/>
        <family val="2"/>
        <scheme val="minor"/>
      </rPr>
      <t xml:space="preserve"> is indicated as: </t>
    </r>
  </si>
  <si>
    <r>
      <t>Endogenous control</t>
    </r>
    <r>
      <rPr>
        <sz val="11"/>
        <color theme="1"/>
        <rFont val="Calibri"/>
        <family val="2"/>
        <scheme val="minor"/>
      </rPr>
      <t xml:space="preserve"> is indicated as: </t>
    </r>
  </si>
  <si>
    <r>
      <rPr>
        <sz val="11"/>
        <color rgb="FF0000FF"/>
        <rFont val="Calibri"/>
        <family val="2"/>
        <scheme val="minor"/>
      </rPr>
      <t>EC VALID</t>
    </r>
    <r>
      <rPr>
        <sz val="11"/>
        <color theme="1"/>
        <rFont val="Calibri"/>
        <family val="2"/>
        <scheme val="minor"/>
      </rPr>
      <t xml:space="preserve"> or</t>
    </r>
    <r>
      <rPr>
        <sz val="11"/>
        <color theme="1" tint="0.499984740745262"/>
        <rFont val="Calibri"/>
        <family val="2"/>
        <scheme val="minor"/>
      </rPr>
      <t xml:space="preserve"> EC INVALID</t>
    </r>
  </si>
  <si>
    <t>Sample Interpretation for CT</t>
  </si>
  <si>
    <t>Sample Interpretation for NG</t>
  </si>
  <si>
    <t xml:space="preserve"> Viability Threshold</t>
  </si>
  <si>
    <t>NG</t>
  </si>
  <si>
    <t>CT</t>
  </si>
  <si>
    <t>VITA Index Valid AND EC Valid</t>
  </si>
  <si>
    <t>Endogenous control not valid repeat test/re-extract sample - VITA Index may be valid dependent on stringency of EC detection</t>
  </si>
  <si>
    <t>CT Viability Threshold</t>
  </si>
  <si>
    <t>NG Viability Threshold</t>
  </si>
  <si>
    <t>Indeterminate</t>
  </si>
  <si>
    <t>Instructions for using Cq output template</t>
  </si>
  <si>
    <r>
      <t xml:space="preserve">2. To export data click the </t>
    </r>
    <r>
      <rPr>
        <b/>
        <sz val="11"/>
        <color theme="1"/>
        <rFont val="Calibri"/>
        <family val="2"/>
        <scheme val="minor"/>
      </rPr>
      <t>Actions</t>
    </r>
    <r>
      <rPr>
        <sz val="11"/>
        <color theme="1"/>
        <rFont val="Calibri"/>
        <family val="2"/>
        <scheme val="minor"/>
      </rPr>
      <t xml:space="preserve"> button in the right hand corner of DA2 software. Select </t>
    </r>
    <r>
      <rPr>
        <b/>
        <sz val="11"/>
        <color theme="1"/>
        <rFont val="Calibri"/>
        <family val="2"/>
        <scheme val="minor"/>
      </rPr>
      <t>Export</t>
    </r>
    <r>
      <rPr>
        <sz val="11"/>
        <color theme="1"/>
        <rFont val="Calibri"/>
        <family val="2"/>
        <scheme val="minor"/>
      </rPr>
      <t xml:space="preserve"> to save file in location of choice in a .xlsx format. </t>
    </r>
  </si>
  <si>
    <r>
      <rPr>
        <b/>
        <sz val="11"/>
        <color theme="1"/>
        <rFont val="Calibri"/>
        <family val="2"/>
        <scheme val="minor"/>
      </rPr>
      <t>Figure 1</t>
    </r>
    <r>
      <rPr>
        <sz val="11"/>
        <color theme="1"/>
        <rFont val="Calibri"/>
        <family val="2"/>
        <scheme val="minor"/>
      </rPr>
      <t>. Region of data to select to paste into data input tab</t>
    </r>
  </si>
  <si>
    <t>4. Select all data points from the first well - excluding the headers, as seen in Figure 1. Copy into the second tab of this workbook labelled Data input.</t>
  </si>
  <si>
    <t>3. Open the results .xlsx generated.</t>
  </si>
  <si>
    <t>CT GAT cut-offs (Detection)</t>
  </si>
  <si>
    <t>CT NED cut-offs (Detection)</t>
  </si>
  <si>
    <t>NG GAT cut-offs (Detection)</t>
  </si>
  <si>
    <t>NG NED cut-offs (Detection)</t>
  </si>
  <si>
    <t>CT GAT cut-offs (Viability)</t>
  </si>
  <si>
    <t>CT NED cut-offs (Viability)</t>
  </si>
  <si>
    <t>NG GAT cut-offs (Viability)</t>
  </si>
  <si>
    <t>NG NED cut-offs (Viability)</t>
  </si>
  <si>
    <t>Comment/Change to be made</t>
  </si>
  <si>
    <t>Initials</t>
  </si>
  <si>
    <t>Date for request</t>
  </si>
  <si>
    <t>Date change was completed</t>
  </si>
  <si>
    <t xml:space="preserve">v3.1, includes changes to the threshold to include &lt;=threshold for non-viables </t>
  </si>
  <si>
    <t>TB</t>
  </si>
  <si>
    <t>30.05.25</t>
  </si>
  <si>
    <t>30.05.25TB</t>
  </si>
  <si>
    <t>V3.2, change in the VITA index formula of the Data summary sheet to call indeterminates before giving index</t>
  </si>
  <si>
    <t>11.06.25</t>
  </si>
  <si>
    <t>11.06.25TB</t>
  </si>
  <si>
    <t>G1</t>
  </si>
  <si>
    <t>Inconclusive</t>
  </si>
  <si>
    <t>G2</t>
  </si>
  <si>
    <t>G3</t>
  </si>
  <si>
    <t>G4</t>
  </si>
  <si>
    <t>G5</t>
  </si>
  <si>
    <t>H1</t>
  </si>
  <si>
    <t>H2</t>
  </si>
  <si>
    <t>H3</t>
  </si>
  <si>
    <t>H4</t>
  </si>
  <si>
    <t>H5</t>
  </si>
  <si>
    <t>IA</t>
  </si>
  <si>
    <t>V3.3, linked viability threshold from Data summary sheet to Results Summary (using concatenate formula). Changed Cp to Cq in Results summary table.</t>
  </si>
  <si>
    <t>v3.4, updated cq-cutoffs with dark cycling (i.e removed 5 cqs from current cqs)</t>
  </si>
  <si>
    <t>11.07.25</t>
  </si>
  <si>
    <t>11.07.25TB</t>
  </si>
  <si>
    <t>v3.5 changed sample interpretation to have detection, viability status</t>
  </si>
  <si>
    <t>23.07.25</t>
  </si>
  <si>
    <t>23.07.25TB</t>
  </si>
  <si>
    <t>V3.6, Took v3.5 and changed the data input to use xlookup because of error in ordering cqs when target channels are loaded in a different order from what is used in-house</t>
  </si>
  <si>
    <t>29.08.25</t>
  </si>
  <si>
    <t>OM3-001_0 min</t>
  </si>
  <si>
    <t/>
  </si>
  <si>
    <t>OM3-001_5 min</t>
  </si>
  <si>
    <t>OM3-001_30 min</t>
  </si>
  <si>
    <t>OM3-001_60 min</t>
  </si>
  <si>
    <t>OM3-001_120 min</t>
  </si>
  <si>
    <t>OM3-002_0 min</t>
  </si>
  <si>
    <t>OM3-002_5 min</t>
  </si>
  <si>
    <t>OM3-002_30 min</t>
  </si>
  <si>
    <t>OM3-002_60 min</t>
  </si>
  <si>
    <t>OM3-002_120 min</t>
  </si>
  <si>
    <t>OM3-005_0 min</t>
  </si>
  <si>
    <t>OM3-005_5 min</t>
  </si>
  <si>
    <t>OM3-005_30 min</t>
  </si>
  <si>
    <t>OM3-005_60 min</t>
  </si>
  <si>
    <t>OM3-005_120 min</t>
  </si>
  <si>
    <t>OM3-006_0 min</t>
  </si>
  <si>
    <t>OM3-006_5 min</t>
  </si>
  <si>
    <t>OM3-006_30 min</t>
  </si>
  <si>
    <t>OM3-006_60 min</t>
  </si>
  <si>
    <t>OM3-006_120 min</t>
  </si>
  <si>
    <t>OM3-007_0 min</t>
  </si>
  <si>
    <t>OM3-007_5 min</t>
  </si>
  <si>
    <t>OM3-007_30 min</t>
  </si>
  <si>
    <t>OM3-007_60 min</t>
  </si>
  <si>
    <t>OM3-007_120 min</t>
  </si>
  <si>
    <t>OM3-008_0 min</t>
  </si>
  <si>
    <t>OM3-008_5 min</t>
  </si>
  <si>
    <t>OM3-008_30 min</t>
  </si>
  <si>
    <t>OM3-008_60 min</t>
  </si>
  <si>
    <t>OM3-008_120 min</t>
  </si>
  <si>
    <t>OM3-009_0 min</t>
  </si>
  <si>
    <t>OM3-009_5 min</t>
  </si>
  <si>
    <t>OM3-009_30 min</t>
  </si>
  <si>
    <t>OM3-009_60 min</t>
  </si>
  <si>
    <t>OM3-009_120 min</t>
  </si>
  <si>
    <t>G10</t>
  </si>
  <si>
    <t>NTC</t>
  </si>
  <si>
    <t>OM3-010_0 min</t>
  </si>
  <si>
    <t>OM3-010_5 min</t>
  </si>
  <si>
    <t>OM3-010_30 min</t>
  </si>
  <si>
    <t>OM3-010_60 min</t>
  </si>
  <si>
    <t>OM3-010_120 min</t>
  </si>
  <si>
    <t>H10</t>
  </si>
  <si>
    <t>NEG</t>
  </si>
  <si>
    <t>H11</t>
  </si>
  <si>
    <t>vNG</t>
  </si>
  <si>
    <t>H12</t>
  </si>
  <si>
    <t>nvNG</t>
  </si>
  <si>
    <t>v3.7 make the vlookup funtion for cq and delta ca based on flurophore channel instead of target name</t>
  </si>
  <si>
    <t>10.09.25</t>
  </si>
  <si>
    <t xml:space="preserve">Enter all Reporters </t>
  </si>
  <si>
    <t>A6</t>
  </si>
  <si>
    <t>A7</t>
  </si>
  <si>
    <t>A8</t>
  </si>
  <si>
    <t>A9</t>
  </si>
  <si>
    <t>A10</t>
  </si>
  <si>
    <t>A12</t>
  </si>
  <si>
    <t>B6</t>
  </si>
  <si>
    <t>B7</t>
  </si>
  <si>
    <t>B8</t>
  </si>
  <si>
    <t>B9</t>
  </si>
  <si>
    <t>B10</t>
  </si>
  <si>
    <t>B12</t>
  </si>
  <si>
    <t>OM3-003_0 min</t>
  </si>
  <si>
    <t>OM3-003_5 min</t>
  </si>
  <si>
    <t>OM3-003_30 min</t>
  </si>
  <si>
    <t>OM3-003_60 min</t>
  </si>
  <si>
    <t>OM3-003_120 min</t>
  </si>
  <si>
    <t>C6</t>
  </si>
  <si>
    <t>OM3-011_0 min</t>
  </si>
  <si>
    <t>C7</t>
  </si>
  <si>
    <t>OM3-011_5 min</t>
  </si>
  <si>
    <t>C8</t>
  </si>
  <si>
    <t>OM3-011_30 min</t>
  </si>
  <si>
    <t>C9</t>
  </si>
  <si>
    <t>OM3-011_60 min</t>
  </si>
  <si>
    <t>C10</t>
  </si>
  <si>
    <t>OM3-011_120 min</t>
  </si>
  <si>
    <t>C12</t>
  </si>
  <si>
    <t>CT/NG gblock</t>
  </si>
  <si>
    <t>OM3-004_0 min</t>
  </si>
  <si>
    <t>OM3-004_5 min</t>
  </si>
  <si>
    <t>OM3-004_30 min</t>
  </si>
  <si>
    <t>OM3-004_60 min</t>
  </si>
  <si>
    <t>OM3-004_120 min</t>
  </si>
  <si>
    <t>D6</t>
  </si>
  <si>
    <t>OM3-012_0 min</t>
  </si>
  <si>
    <t>D7</t>
  </si>
  <si>
    <t>OM3-012_5 min</t>
  </si>
  <si>
    <t>D8</t>
  </si>
  <si>
    <t>OM3-012_30 min</t>
  </si>
  <si>
    <t>D9</t>
  </si>
  <si>
    <t>OM3-012_60 min</t>
  </si>
  <si>
    <t>D10</t>
  </si>
  <si>
    <t>OM3-012_120 min</t>
  </si>
  <si>
    <t>E6</t>
  </si>
  <si>
    <t>OM3-013_0 min</t>
  </si>
  <si>
    <t>E7</t>
  </si>
  <si>
    <t>OM3-013_5 min</t>
  </si>
  <si>
    <t>E8</t>
  </si>
  <si>
    <t>OM3-013_30 min</t>
  </si>
  <si>
    <t>E9</t>
  </si>
  <si>
    <t>OM3-013_60 min</t>
  </si>
  <si>
    <t>E10</t>
  </si>
  <si>
    <t>OM3-013_120 min</t>
  </si>
  <si>
    <t>F6</t>
  </si>
  <si>
    <t>OM3-014_0 min</t>
  </si>
  <si>
    <t>F7</t>
  </si>
  <si>
    <t>OM3-014_5 min</t>
  </si>
  <si>
    <t>F8</t>
  </si>
  <si>
    <t>OM3-014_30 min</t>
  </si>
  <si>
    <t>F9</t>
  </si>
  <si>
    <t>OM3-014_60 min</t>
  </si>
  <si>
    <t>F10</t>
  </si>
  <si>
    <t>OM3-014_120 min</t>
  </si>
  <si>
    <t>G6</t>
  </si>
  <si>
    <t>OM3-015_0 min</t>
  </si>
  <si>
    <t>G7</t>
  </si>
  <si>
    <t>OM3-015_5 min</t>
  </si>
  <si>
    <t>G8</t>
  </si>
  <si>
    <t>OM3-015_30 min</t>
  </si>
  <si>
    <t>G9</t>
  </si>
  <si>
    <t>OM3-015_60 min</t>
  </si>
  <si>
    <t>OM3-015_120 min</t>
  </si>
  <si>
    <t>H6</t>
  </si>
  <si>
    <t>OM3-016_0 min</t>
  </si>
  <si>
    <t>H7</t>
  </si>
  <si>
    <t>OM3-016_5 min</t>
  </si>
  <si>
    <t>H8</t>
  </si>
  <si>
    <t>OM3-016_30 min</t>
  </si>
  <si>
    <t>H9</t>
  </si>
  <si>
    <t>OM3-016_60 min</t>
  </si>
  <si>
    <t>OM3-016_120 min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</si>
  <si>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The analysis in this sheet is automated and changing any of the cells in the sheets other than 'Data Input' may break formulae.</t>
    </r>
  </si>
  <si>
    <r>
      <t xml:space="preserve">Please contact </t>
    </r>
    <r>
      <rPr>
        <sz val="11"/>
        <color rgb="FF0000FF"/>
        <rFont val="Calibri"/>
        <family val="2"/>
        <scheme val="minor"/>
      </rPr>
      <t>insignia@speedx.com.au</t>
    </r>
    <r>
      <rPr>
        <sz val="11"/>
        <color theme="1"/>
        <rFont val="Calibri"/>
        <family val="2"/>
        <scheme val="minor"/>
      </rPr>
      <t xml:space="preserve"> for assistance.</t>
    </r>
  </si>
  <si>
    <r>
      <t>1. Analyse Quantstudio</t>
    </r>
    <r>
      <rPr>
        <vertAlign val="superscript"/>
        <sz val="11"/>
        <color theme="1"/>
        <rFont val="Calibri"/>
        <family val="2"/>
        <scheme val="minor"/>
      </rPr>
      <t>TM</t>
    </r>
    <r>
      <rPr>
        <sz val="11"/>
        <color theme="1"/>
        <rFont val="Calibri"/>
        <family val="2"/>
        <scheme val="minor"/>
      </rPr>
      <t xml:space="preserve"> 5 runfile using Design and Analysis v2.6.0 as per package insert instructions.</t>
    </r>
  </si>
  <si>
    <t>5. In the Results Summary tab are the cqs for each channel as well as the VITA indices for NG and CT which are used to assess viability.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</si>
</sst>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Verdana"/>
      <family val="2"/>
    </font>
    <font>
      <sz val="11"/>
      <color rgb="FF0000FF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Aptos Narrow"/>
      <family val="2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/>
      <top/>
      <bottom/>
      <diagonal/>
    </border>
    <border>
      <left/>
      <right style="medium">
        <color rgb="FF0000FF"/>
      </right>
      <top/>
      <bottom/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/>
      <right/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73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 applyProtection="1">
      <alignment vertical="center"/>
      <protection locked="0" hidden="1"/>
    </xf>
    <xf numFmtId="0" fontId="2" fillId="0" borderId="1" xfId="0" applyFont="1" applyBorder="1" applyAlignment="1" applyProtection="1">
      <alignment horizontal="center" vertical="center"/>
      <protection locked="0" hidden="1"/>
    </xf>
    <xf numFmtId="0" fontId="0" fillId="0" borderId="2" xfId="0" applyBorder="1" applyAlignment="1" applyProtection="1">
      <alignment vertical="center"/>
      <protection locked="0" hidden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/>
    <xf numFmtId="0" fontId="4" fillId="0" borderId="0" xfId="0" applyFont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2" xfId="0" applyBorder="1"/>
    <xf numFmtId="0" fontId="0" fillId="0" borderId="18" xfId="0" applyBorder="1"/>
    <xf numFmtId="0" fontId="0" fillId="0" borderId="19" xfId="0" applyBorder="1"/>
    <xf numFmtId="0" fontId="5" fillId="0" borderId="0" xfId="0" applyFont="1" applyAlignment="1">
      <alignment horizontal="left" vertical="center"/>
    </xf>
    <xf numFmtId="0" fontId="0" fillId="0" borderId="20" xfId="0" applyBorder="1"/>
    <xf numFmtId="0" fontId="0" fillId="0" borderId="15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2" fillId="0" borderId="0" xfId="0" applyFont="1"/>
    <xf numFmtId="0" fontId="0" fillId="0" borderId="17" xfId="0" applyBorder="1"/>
    <xf numFmtId="0" fontId="5" fillId="0" borderId="18" xfId="0" applyFont="1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4" fillId="0" borderId="18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2" fillId="2" borderId="0" xfId="0" applyFont="1" applyFill="1" applyAlignment="1">
      <alignment horizontal="center"/>
    </xf>
    <xf numFmtId="0" fontId="0" fillId="3" borderId="0" xfId="0" applyFill="1"/>
    <xf numFmtId="0" fontId="0" fillId="4" borderId="23" xfId="0" applyFill="1" applyBorder="1" applyAlignment="1">
      <alignment horizontal="center"/>
    </xf>
    <xf numFmtId="0" fontId="0" fillId="4" borderId="0" xfId="0" applyFill="1"/>
    <xf numFmtId="0" fontId="0" fillId="4" borderId="24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9" fillId="0" borderId="0" xfId="0" applyFont="1"/>
    <xf numFmtId="0" fontId="0" fillId="0" borderId="0" xfId="0" quotePrefix="1"/>
    <xf numFmtId="0" fontId="10" fillId="0" borderId="0" xfId="0" applyFont="1"/>
    <xf numFmtId="0" fontId="0" fillId="0" borderId="0" xfId="0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0" fillId="0" borderId="2" xfId="0" applyBorder="1" applyAlignment="1" applyProtection="1">
      <alignment horizontal="center" vertical="center"/>
      <protection locked="0" hidden="1"/>
    </xf>
    <xf numFmtId="2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/>
    <xf numFmtId="2" fontId="0" fillId="0" borderId="14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0" fontId="12" fillId="5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</cellXfs>
  <cellStyles count="2">
    <cellStyle name="Normal" xfId="0" builtinId="0"/>
    <cellStyle name="Normal 23" xfId="1" xr:uid="{00000000-0005-0000-0000-000001000000}"/>
  </cellStyles>
  <dxfs count="73"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theme="1" tint="0.499984740745262"/>
      </font>
    </dxf>
    <dxf>
      <font>
        <color rgb="FF0000FF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theme="1"/>
      </font>
    </dxf>
    <dxf>
      <font>
        <color theme="1" tint="0.499984740745262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b/>
        <i val="0"/>
        <color rgb="FF0000FF"/>
      </font>
      <fill>
        <patternFill>
          <bgColor theme="4" tint="0.79998168889431442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color theme="1" tint="0.499984740745262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theme="1" tint="0.499984740745262"/>
      </font>
    </dxf>
    <dxf>
      <font>
        <color theme="1"/>
      </font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0000FF"/>
      </font>
      <fill>
        <patternFill>
          <bgColor theme="4" tint="0.79998168889431442"/>
        </patternFill>
      </fill>
    </dxf>
    <dxf>
      <font>
        <color theme="0" tint="-0.34998626667073579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b val="0"/>
        <i val="0"/>
        <color theme="0" tint="-0.34998626667073579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theme="0" tint="-0.34998626667073579"/>
      </font>
      <fill>
        <patternFill patternType="none">
          <bgColor auto="1"/>
        </patternFill>
      </fill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00FF"/>
      </font>
      <fill>
        <patternFill>
          <bgColor theme="4" tint="0.79998168889431442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0000FF"/>
      </font>
      <fill>
        <patternFill>
          <bgColor theme="4" tint="0.79998168889431442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499984740745262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0000FF"/>
      </font>
      <fill>
        <patternFill>
          <bgColor theme="4" tint="0.79998168889431442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0000FF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0000FF"/>
      </font>
      <fill>
        <patternFill>
          <bgColor theme="4" tint="0.79998168889431442"/>
        </patternFill>
      </fill>
    </dxf>
    <dxf>
      <font>
        <b/>
        <i val="0"/>
        <color rgb="FF0000FF"/>
      </font>
      <fill>
        <patternFill>
          <bgColor theme="4" tint="0.79998168889431442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2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NG VITA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'VITA Index summary'!$G$4</c:f>
              <c:strCache>
                <c:ptCount val="1"/>
                <c:pt idx="0">
                  <c:v>NG VITA Index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'VITA Index summary'!$B$5:$B$100</c15:sqref>
                  </c15:fullRef>
                </c:ext>
              </c:extLst>
              <c:f>'VITA Index summary'!$B$5:$B$51</c:f>
              <c:strCache>
                <c:ptCount val="47"/>
                <c:pt idx="0">
                  <c:v>OM3-001_0 min</c:v>
                </c:pt>
                <c:pt idx="1">
                  <c:v>OM3-001_5 min</c:v>
                </c:pt>
                <c:pt idx="2">
                  <c:v>OM3-001_30 min</c:v>
                </c:pt>
                <c:pt idx="3">
                  <c:v>OM3-001_60 min</c:v>
                </c:pt>
                <c:pt idx="4">
                  <c:v>OM3-001_120 min</c:v>
                </c:pt>
                <c:pt idx="5">
                  <c:v>OM3-009_0 min</c:v>
                </c:pt>
                <c:pt idx="6">
                  <c:v>OM3-009_5 min</c:v>
                </c:pt>
                <c:pt idx="7">
                  <c:v>OM3-009_30 min</c:v>
                </c:pt>
                <c:pt idx="8">
                  <c:v>OM3-009_60 min</c:v>
                </c:pt>
                <c:pt idx="9">
                  <c:v>OM3-009_120 min</c:v>
                </c:pt>
                <c:pt idx="10">
                  <c:v>NEG</c:v>
                </c:pt>
                <c:pt idx="11">
                  <c:v>OM3-002_0 min</c:v>
                </c:pt>
                <c:pt idx="12">
                  <c:v>OM3-002_5 min</c:v>
                </c:pt>
                <c:pt idx="13">
                  <c:v>OM3-002_30 min</c:v>
                </c:pt>
                <c:pt idx="14">
                  <c:v>OM3-002_60 min</c:v>
                </c:pt>
                <c:pt idx="15">
                  <c:v>OM3-002_120 min</c:v>
                </c:pt>
                <c:pt idx="16">
                  <c:v>OM3-010_0 min</c:v>
                </c:pt>
                <c:pt idx="17">
                  <c:v>OM3-010_5 min</c:v>
                </c:pt>
                <c:pt idx="18">
                  <c:v>OM3-010_30 min</c:v>
                </c:pt>
                <c:pt idx="19">
                  <c:v>OM3-010_60 min</c:v>
                </c:pt>
                <c:pt idx="20">
                  <c:v>OM3-010_120 min</c:v>
                </c:pt>
                <c:pt idx="21">
                  <c:v>NTC</c:v>
                </c:pt>
                <c:pt idx="22">
                  <c:v>OM3-003_0 min</c:v>
                </c:pt>
                <c:pt idx="23">
                  <c:v>OM3-003_5 min</c:v>
                </c:pt>
                <c:pt idx="24">
                  <c:v>OM3-003_30 min</c:v>
                </c:pt>
                <c:pt idx="25">
                  <c:v>OM3-003_60 min</c:v>
                </c:pt>
                <c:pt idx="26">
                  <c:v>OM3-003_120 min</c:v>
                </c:pt>
                <c:pt idx="27">
                  <c:v>OM3-011_0 min</c:v>
                </c:pt>
                <c:pt idx="28">
                  <c:v>OM3-011_5 min</c:v>
                </c:pt>
                <c:pt idx="29">
                  <c:v>OM3-011_30 min</c:v>
                </c:pt>
                <c:pt idx="30">
                  <c:v>OM3-011_60 min</c:v>
                </c:pt>
                <c:pt idx="31">
                  <c:v>OM3-011_120 min</c:v>
                </c:pt>
                <c:pt idx="32">
                  <c:v>CT/NG gblock</c:v>
                </c:pt>
                <c:pt idx="33">
                  <c:v>OM3-004_0 min</c:v>
                </c:pt>
                <c:pt idx="34">
                  <c:v>OM3-004_5 min</c:v>
                </c:pt>
                <c:pt idx="35">
                  <c:v>OM3-004_30 min</c:v>
                </c:pt>
                <c:pt idx="36">
                  <c:v>OM3-004_60 min</c:v>
                </c:pt>
                <c:pt idx="37">
                  <c:v>OM3-004_120 min</c:v>
                </c:pt>
                <c:pt idx="38">
                  <c:v>OM3-012_0 min</c:v>
                </c:pt>
                <c:pt idx="39">
                  <c:v>OM3-012_5 min</c:v>
                </c:pt>
                <c:pt idx="40">
                  <c:v>OM3-012_30 min</c:v>
                </c:pt>
                <c:pt idx="41">
                  <c:v>OM3-012_60 min</c:v>
                </c:pt>
                <c:pt idx="42">
                  <c:v>OM3-012_120 min</c:v>
                </c:pt>
                <c:pt idx="43">
                  <c:v>OM3-005_0 min</c:v>
                </c:pt>
                <c:pt idx="44">
                  <c:v>OM3-005_5 min</c:v>
                </c:pt>
                <c:pt idx="45">
                  <c:v>OM3-005_30 min</c:v>
                </c:pt>
                <c:pt idx="46">
                  <c:v>OM3-005_60 min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'VITA Index summary'!$G$5:$G$100</c15:sqref>
                  </c15:fullRef>
                </c:ext>
              </c:extLst>
              <c:f>'VITA Index summary'!$G$5:$G$51</c:f>
              <c:numCache>
                <c:formatCode>0.00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4.2128057652898132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1.6620948108831148</c:v>
                </c:pt>
                <c:pt idx="10">
                  <c:v>0</c:v>
                </c:pt>
                <c:pt idx="11">
                  <c:v>1.1562312618833275</c:v>
                </c:pt>
                <c:pt idx="12">
                  <c:v>2.0806875779985741</c:v>
                </c:pt>
                <c:pt idx="13">
                  <c:v>2.9827336939104847</c:v>
                </c:pt>
                <c:pt idx="14">
                  <c:v>2.3351335937474835</c:v>
                </c:pt>
                <c:pt idx="15">
                  <c:v>2.9164826008325484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1.8355258746828782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4.9508608068472864</c:v>
                </c:pt>
                <c:pt idx="28">
                  <c:v>2.2368529147512652</c:v>
                </c:pt>
                <c:pt idx="29">
                  <c:v>5.2048198890520672</c:v>
                </c:pt>
                <c:pt idx="30">
                  <c:v>0</c:v>
                </c:pt>
                <c:pt idx="31">
                  <c:v>0</c:v>
                </c:pt>
                <c:pt idx="32">
                  <c:v>1.1419370724189322</c:v>
                </c:pt>
                <c:pt idx="33">
                  <c:v>1.8791942482762134</c:v>
                </c:pt>
                <c:pt idx="34">
                  <c:v>2.7737398824718542</c:v>
                </c:pt>
                <c:pt idx="35">
                  <c:v>2.6331606737729762</c:v>
                </c:pt>
                <c:pt idx="36">
                  <c:v>2.0134597597891659</c:v>
                </c:pt>
                <c:pt idx="37">
                  <c:v>2.5457299937335618</c:v>
                </c:pt>
                <c:pt idx="38">
                  <c:v>0</c:v>
                </c:pt>
                <c:pt idx="39">
                  <c:v>0</c:v>
                </c:pt>
                <c:pt idx="40">
                  <c:v>1.4888619403748775</c:v>
                </c:pt>
                <c:pt idx="41">
                  <c:v>0</c:v>
                </c:pt>
                <c:pt idx="42">
                  <c:v>2.9811025131279805</c:v>
                </c:pt>
                <c:pt idx="43">
                  <c:v>4.8380393443762593</c:v>
                </c:pt>
                <c:pt idx="44">
                  <c:v>2.9380591895880861</c:v>
                </c:pt>
                <c:pt idx="45">
                  <c:v>3.8382616013067463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66-4477-833B-031420E69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0935775"/>
        <c:axId val="860936735"/>
      </c:barChart>
      <c:lineChart>
        <c:grouping val="standard"/>
        <c:varyColors val="0"/>
        <c:ser>
          <c:idx val="1"/>
          <c:order val="1"/>
          <c:tx>
            <c:strRef>
              <c:f>'VITA Index summary'!$H$4</c:f>
              <c:strCache>
                <c:ptCount val="1"/>
                <c:pt idx="0">
                  <c:v>NG Viability Threshold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47"/>
              <c:pt idx="0">
                <c:v>OM3-001_0 min</c:v>
              </c:pt>
              <c:pt idx="1">
                <c:v>OM3-001_5 min</c:v>
              </c:pt>
              <c:pt idx="2">
                <c:v>OM3-001_30 min</c:v>
              </c:pt>
              <c:pt idx="3">
                <c:v>OM3-001_60 min</c:v>
              </c:pt>
              <c:pt idx="4">
                <c:v>OM3-001_120 min</c:v>
              </c:pt>
              <c:pt idx="5">
                <c:v>OM3-009_0 min</c:v>
              </c:pt>
              <c:pt idx="6">
                <c:v>OM3-009_5 min</c:v>
              </c:pt>
              <c:pt idx="7">
                <c:v>OM3-009_30 min</c:v>
              </c:pt>
              <c:pt idx="8">
                <c:v>OM3-009_60 min</c:v>
              </c:pt>
              <c:pt idx="9">
                <c:v>OM3-009_120 min</c:v>
              </c:pt>
              <c:pt idx="10">
                <c:v>NEG</c:v>
              </c:pt>
              <c:pt idx="11">
                <c:v>OM3-002_0 min</c:v>
              </c:pt>
              <c:pt idx="12">
                <c:v>OM3-002_5 min</c:v>
              </c:pt>
              <c:pt idx="13">
                <c:v>OM3-002_30 min</c:v>
              </c:pt>
              <c:pt idx="14">
                <c:v>OM3-002_60 min</c:v>
              </c:pt>
              <c:pt idx="15">
                <c:v>OM3-002_120 min</c:v>
              </c:pt>
              <c:pt idx="16">
                <c:v>OM3-010_0 min</c:v>
              </c:pt>
              <c:pt idx="17">
                <c:v>OM3-010_5 min</c:v>
              </c:pt>
              <c:pt idx="18">
                <c:v>OM3-010_30 min</c:v>
              </c:pt>
              <c:pt idx="19">
                <c:v>OM3-010_60 min</c:v>
              </c:pt>
              <c:pt idx="20">
                <c:v>OM3-010_120 min</c:v>
              </c:pt>
              <c:pt idx="21">
                <c:v>NTC</c:v>
              </c:pt>
              <c:pt idx="22">
                <c:v>OM3-003_0 min</c:v>
              </c:pt>
              <c:pt idx="23">
                <c:v>OM3-003_5 min</c:v>
              </c:pt>
              <c:pt idx="24">
                <c:v>OM3-003_30 min</c:v>
              </c:pt>
              <c:pt idx="25">
                <c:v>OM3-003_60 min</c:v>
              </c:pt>
              <c:pt idx="26">
                <c:v>OM3-003_120 min</c:v>
              </c:pt>
              <c:pt idx="27">
                <c:v>OM3-011_0 min</c:v>
              </c:pt>
              <c:pt idx="28">
                <c:v>OM3-011_5 min</c:v>
              </c:pt>
              <c:pt idx="29">
                <c:v>OM3-011_30 min</c:v>
              </c:pt>
              <c:pt idx="30">
                <c:v>OM3-011_60 min</c:v>
              </c:pt>
              <c:pt idx="31">
                <c:v>OM3-011_120 min</c:v>
              </c:pt>
              <c:pt idx="32">
                <c:v>CT/NG gblock</c:v>
              </c:pt>
              <c:pt idx="33">
                <c:v>OM3-004_0 min</c:v>
              </c:pt>
              <c:pt idx="34">
                <c:v>OM3-004_5 min</c:v>
              </c:pt>
              <c:pt idx="35">
                <c:v>OM3-004_30 min</c:v>
              </c:pt>
              <c:pt idx="36">
                <c:v>OM3-004_60 min</c:v>
              </c:pt>
              <c:pt idx="37">
                <c:v>OM3-004_120 min</c:v>
              </c:pt>
              <c:pt idx="38">
                <c:v>OM3-012_0 min</c:v>
              </c:pt>
              <c:pt idx="39">
                <c:v>OM3-012_5 min</c:v>
              </c:pt>
              <c:pt idx="40">
                <c:v>OM3-012_30 min</c:v>
              </c:pt>
              <c:pt idx="41">
                <c:v>OM3-012_60 min</c:v>
              </c:pt>
              <c:pt idx="42">
                <c:v>OM3-012_120 min</c:v>
              </c:pt>
              <c:pt idx="43">
                <c:v>OM3-005_0 min</c:v>
              </c:pt>
              <c:pt idx="44">
                <c:v>OM3-005_5 min</c:v>
              </c:pt>
              <c:pt idx="45">
                <c:v>OM3-005_30 min</c:v>
              </c:pt>
              <c:pt idx="46">
                <c:v>OM3-005_60 min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'VITA Index summary'!$H$5:$H$100</c15:sqref>
                  </c15:fullRef>
                </c:ext>
              </c:extLst>
              <c:f>'VITA Index summary'!$H$5:$H$51</c:f>
              <c:numCache>
                <c:formatCode>0.00</c:formatCode>
                <c:ptCount val="47"/>
                <c:pt idx="0">
                  <c:v>1.46</c:v>
                </c:pt>
                <c:pt idx="1">
                  <c:v>1.46</c:v>
                </c:pt>
                <c:pt idx="2">
                  <c:v>1.46</c:v>
                </c:pt>
                <c:pt idx="3">
                  <c:v>1.46</c:v>
                </c:pt>
                <c:pt idx="4">
                  <c:v>1.46</c:v>
                </c:pt>
                <c:pt idx="5">
                  <c:v>1.46</c:v>
                </c:pt>
                <c:pt idx="6">
                  <c:v>1.46</c:v>
                </c:pt>
                <c:pt idx="7">
                  <c:v>1.46</c:v>
                </c:pt>
                <c:pt idx="8">
                  <c:v>1.46</c:v>
                </c:pt>
                <c:pt idx="9">
                  <c:v>1.46</c:v>
                </c:pt>
                <c:pt idx="10">
                  <c:v>1.46</c:v>
                </c:pt>
                <c:pt idx="11">
                  <c:v>1.46</c:v>
                </c:pt>
                <c:pt idx="12">
                  <c:v>1.46</c:v>
                </c:pt>
                <c:pt idx="13">
                  <c:v>1.46</c:v>
                </c:pt>
                <c:pt idx="14">
                  <c:v>1.46</c:v>
                </c:pt>
                <c:pt idx="15">
                  <c:v>1.46</c:v>
                </c:pt>
                <c:pt idx="16">
                  <c:v>1.46</c:v>
                </c:pt>
                <c:pt idx="17">
                  <c:v>1.46</c:v>
                </c:pt>
                <c:pt idx="18">
                  <c:v>1.46</c:v>
                </c:pt>
                <c:pt idx="19">
                  <c:v>1.46</c:v>
                </c:pt>
                <c:pt idx="20">
                  <c:v>1.46</c:v>
                </c:pt>
                <c:pt idx="21">
                  <c:v>1.46</c:v>
                </c:pt>
                <c:pt idx="22">
                  <c:v>1.46</c:v>
                </c:pt>
                <c:pt idx="23">
                  <c:v>1.46</c:v>
                </c:pt>
                <c:pt idx="24">
                  <c:v>1.46</c:v>
                </c:pt>
                <c:pt idx="25">
                  <c:v>1.46</c:v>
                </c:pt>
                <c:pt idx="26">
                  <c:v>1.46</c:v>
                </c:pt>
                <c:pt idx="27">
                  <c:v>1.46</c:v>
                </c:pt>
                <c:pt idx="28">
                  <c:v>1.46</c:v>
                </c:pt>
                <c:pt idx="29">
                  <c:v>1.46</c:v>
                </c:pt>
                <c:pt idx="30">
                  <c:v>1.46</c:v>
                </c:pt>
                <c:pt idx="31">
                  <c:v>1.46</c:v>
                </c:pt>
                <c:pt idx="32">
                  <c:v>1.46</c:v>
                </c:pt>
                <c:pt idx="33">
                  <c:v>1.46</c:v>
                </c:pt>
                <c:pt idx="34">
                  <c:v>1.46</c:v>
                </c:pt>
                <c:pt idx="35">
                  <c:v>1.46</c:v>
                </c:pt>
                <c:pt idx="36">
                  <c:v>1.46</c:v>
                </c:pt>
                <c:pt idx="37">
                  <c:v>1.46</c:v>
                </c:pt>
                <c:pt idx="38">
                  <c:v>1.46</c:v>
                </c:pt>
                <c:pt idx="39">
                  <c:v>1.46</c:v>
                </c:pt>
                <c:pt idx="40">
                  <c:v>1.46</c:v>
                </c:pt>
                <c:pt idx="41">
                  <c:v>1.46</c:v>
                </c:pt>
                <c:pt idx="42">
                  <c:v>1.46</c:v>
                </c:pt>
                <c:pt idx="43">
                  <c:v>1.46</c:v>
                </c:pt>
                <c:pt idx="44">
                  <c:v>1.46</c:v>
                </c:pt>
                <c:pt idx="45">
                  <c:v>1.46</c:v>
                </c:pt>
                <c:pt idx="46">
                  <c:v>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66-4477-833B-031420E69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0935775"/>
        <c:axId val="860936735"/>
      </c:lineChart>
      <c:catAx>
        <c:axId val="86093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936735"/>
        <c:crosses val="autoZero"/>
        <c:auto val="1"/>
        <c:lblAlgn val="ctr"/>
        <c:lblOffset val="100"/>
        <c:noMultiLvlLbl val="0"/>
      </c:catAx>
      <c:valAx>
        <c:axId val="86093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VITA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93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CT VITA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'VITA Index summary'!$D$4</c:f>
              <c:strCache>
                <c:ptCount val="1"/>
                <c:pt idx="0">
                  <c:v>CT VITA Index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'VITA Index summary'!$B$5:$B$100</c15:sqref>
                  </c15:fullRef>
                </c:ext>
              </c:extLst>
              <c:f>'VITA Index summary'!$B$5:$B$51</c:f>
              <c:strCache>
                <c:ptCount val="47"/>
                <c:pt idx="0">
                  <c:v>OM3-001_0 min</c:v>
                </c:pt>
                <c:pt idx="1">
                  <c:v>OM3-001_5 min</c:v>
                </c:pt>
                <c:pt idx="2">
                  <c:v>OM3-001_30 min</c:v>
                </c:pt>
                <c:pt idx="3">
                  <c:v>OM3-001_60 min</c:v>
                </c:pt>
                <c:pt idx="4">
                  <c:v>OM3-001_120 min</c:v>
                </c:pt>
                <c:pt idx="5">
                  <c:v>OM3-009_0 min</c:v>
                </c:pt>
                <c:pt idx="6">
                  <c:v>OM3-009_5 min</c:v>
                </c:pt>
                <c:pt idx="7">
                  <c:v>OM3-009_30 min</c:v>
                </c:pt>
                <c:pt idx="8">
                  <c:v>OM3-009_60 min</c:v>
                </c:pt>
                <c:pt idx="9">
                  <c:v>OM3-009_120 min</c:v>
                </c:pt>
                <c:pt idx="10">
                  <c:v>NEG</c:v>
                </c:pt>
                <c:pt idx="11">
                  <c:v>OM3-002_0 min</c:v>
                </c:pt>
                <c:pt idx="12">
                  <c:v>OM3-002_5 min</c:v>
                </c:pt>
                <c:pt idx="13">
                  <c:v>OM3-002_30 min</c:v>
                </c:pt>
                <c:pt idx="14">
                  <c:v>OM3-002_60 min</c:v>
                </c:pt>
                <c:pt idx="15">
                  <c:v>OM3-002_120 min</c:v>
                </c:pt>
                <c:pt idx="16">
                  <c:v>OM3-010_0 min</c:v>
                </c:pt>
                <c:pt idx="17">
                  <c:v>OM3-010_5 min</c:v>
                </c:pt>
                <c:pt idx="18">
                  <c:v>OM3-010_30 min</c:v>
                </c:pt>
                <c:pt idx="19">
                  <c:v>OM3-010_60 min</c:v>
                </c:pt>
                <c:pt idx="20">
                  <c:v>OM3-010_120 min</c:v>
                </c:pt>
                <c:pt idx="21">
                  <c:v>NTC</c:v>
                </c:pt>
                <c:pt idx="22">
                  <c:v>OM3-003_0 min</c:v>
                </c:pt>
                <c:pt idx="23">
                  <c:v>OM3-003_5 min</c:v>
                </c:pt>
                <c:pt idx="24">
                  <c:v>OM3-003_30 min</c:v>
                </c:pt>
                <c:pt idx="25">
                  <c:v>OM3-003_60 min</c:v>
                </c:pt>
                <c:pt idx="26">
                  <c:v>OM3-003_120 min</c:v>
                </c:pt>
                <c:pt idx="27">
                  <c:v>OM3-011_0 min</c:v>
                </c:pt>
                <c:pt idx="28">
                  <c:v>OM3-011_5 min</c:v>
                </c:pt>
                <c:pt idx="29">
                  <c:v>OM3-011_30 min</c:v>
                </c:pt>
                <c:pt idx="30">
                  <c:v>OM3-011_60 min</c:v>
                </c:pt>
                <c:pt idx="31">
                  <c:v>OM3-011_120 min</c:v>
                </c:pt>
                <c:pt idx="32">
                  <c:v>CT/NG gblock</c:v>
                </c:pt>
                <c:pt idx="33">
                  <c:v>OM3-004_0 min</c:v>
                </c:pt>
                <c:pt idx="34">
                  <c:v>OM3-004_5 min</c:v>
                </c:pt>
                <c:pt idx="35">
                  <c:v>OM3-004_30 min</c:v>
                </c:pt>
                <c:pt idx="36">
                  <c:v>OM3-004_60 min</c:v>
                </c:pt>
                <c:pt idx="37">
                  <c:v>OM3-004_120 min</c:v>
                </c:pt>
                <c:pt idx="38">
                  <c:v>OM3-012_0 min</c:v>
                </c:pt>
                <c:pt idx="39">
                  <c:v>OM3-012_5 min</c:v>
                </c:pt>
                <c:pt idx="40">
                  <c:v>OM3-012_30 min</c:v>
                </c:pt>
                <c:pt idx="41">
                  <c:v>OM3-012_60 min</c:v>
                </c:pt>
                <c:pt idx="42">
                  <c:v>OM3-012_120 min</c:v>
                </c:pt>
                <c:pt idx="43">
                  <c:v>OM3-005_0 min</c:v>
                </c:pt>
                <c:pt idx="44">
                  <c:v>OM3-005_5 min</c:v>
                </c:pt>
                <c:pt idx="45">
                  <c:v>OM3-005_30 min</c:v>
                </c:pt>
                <c:pt idx="46">
                  <c:v>OM3-005_60 min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'VITA Index summary'!$D$5:$D$100</c15:sqref>
                  </c15:fullRef>
                </c:ext>
              </c:extLst>
              <c:f>'VITA Index summary'!$D$5:$D$51</c:f>
              <c:numCache>
                <c:formatCode>0.00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0.92995031755730517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F1-4ADC-BA59-EC8941F98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0935775"/>
        <c:axId val="860936735"/>
      </c:barChart>
      <c:lineChart>
        <c:grouping val="standard"/>
        <c:varyColors val="0"/>
        <c:ser>
          <c:idx val="1"/>
          <c:order val="1"/>
          <c:tx>
            <c:strRef>
              <c:f>'VITA Index summary'!$E$4</c:f>
              <c:strCache>
                <c:ptCount val="1"/>
                <c:pt idx="0">
                  <c:v>CT Viability Threshold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47"/>
              <c:pt idx="0">
                <c:v>OM3-001_0 min</c:v>
              </c:pt>
              <c:pt idx="1">
                <c:v>OM3-001_5 min</c:v>
              </c:pt>
              <c:pt idx="2">
                <c:v>OM3-001_30 min</c:v>
              </c:pt>
              <c:pt idx="3">
                <c:v>OM3-001_60 min</c:v>
              </c:pt>
              <c:pt idx="4">
                <c:v>OM3-001_120 min</c:v>
              </c:pt>
              <c:pt idx="5">
                <c:v>OM3-009_0 min</c:v>
              </c:pt>
              <c:pt idx="6">
                <c:v>OM3-009_5 min</c:v>
              </c:pt>
              <c:pt idx="7">
                <c:v>OM3-009_30 min</c:v>
              </c:pt>
              <c:pt idx="8">
                <c:v>OM3-009_60 min</c:v>
              </c:pt>
              <c:pt idx="9">
                <c:v>OM3-009_120 min</c:v>
              </c:pt>
              <c:pt idx="10">
                <c:v>NEG</c:v>
              </c:pt>
              <c:pt idx="11">
                <c:v>OM3-002_0 min</c:v>
              </c:pt>
              <c:pt idx="12">
                <c:v>OM3-002_5 min</c:v>
              </c:pt>
              <c:pt idx="13">
                <c:v>OM3-002_30 min</c:v>
              </c:pt>
              <c:pt idx="14">
                <c:v>OM3-002_60 min</c:v>
              </c:pt>
              <c:pt idx="15">
                <c:v>OM3-002_120 min</c:v>
              </c:pt>
              <c:pt idx="16">
                <c:v>OM3-010_0 min</c:v>
              </c:pt>
              <c:pt idx="17">
                <c:v>OM3-010_5 min</c:v>
              </c:pt>
              <c:pt idx="18">
                <c:v>OM3-010_30 min</c:v>
              </c:pt>
              <c:pt idx="19">
                <c:v>OM3-010_60 min</c:v>
              </c:pt>
              <c:pt idx="20">
                <c:v>OM3-010_120 min</c:v>
              </c:pt>
              <c:pt idx="21">
                <c:v>NTC</c:v>
              </c:pt>
              <c:pt idx="22">
                <c:v>OM3-003_0 min</c:v>
              </c:pt>
              <c:pt idx="23">
                <c:v>OM3-003_5 min</c:v>
              </c:pt>
              <c:pt idx="24">
                <c:v>OM3-003_30 min</c:v>
              </c:pt>
              <c:pt idx="25">
                <c:v>OM3-003_60 min</c:v>
              </c:pt>
              <c:pt idx="26">
                <c:v>OM3-003_120 min</c:v>
              </c:pt>
              <c:pt idx="27">
                <c:v>OM3-011_0 min</c:v>
              </c:pt>
              <c:pt idx="28">
                <c:v>OM3-011_5 min</c:v>
              </c:pt>
              <c:pt idx="29">
                <c:v>OM3-011_30 min</c:v>
              </c:pt>
              <c:pt idx="30">
                <c:v>OM3-011_60 min</c:v>
              </c:pt>
              <c:pt idx="31">
                <c:v>OM3-011_120 min</c:v>
              </c:pt>
              <c:pt idx="32">
                <c:v>CT/NG gblock</c:v>
              </c:pt>
              <c:pt idx="33">
                <c:v>OM3-004_0 min</c:v>
              </c:pt>
              <c:pt idx="34">
                <c:v>OM3-004_5 min</c:v>
              </c:pt>
              <c:pt idx="35">
                <c:v>OM3-004_30 min</c:v>
              </c:pt>
              <c:pt idx="36">
                <c:v>OM3-004_60 min</c:v>
              </c:pt>
              <c:pt idx="37">
                <c:v>OM3-004_120 min</c:v>
              </c:pt>
              <c:pt idx="38">
                <c:v>OM3-012_0 min</c:v>
              </c:pt>
              <c:pt idx="39">
                <c:v>OM3-012_5 min</c:v>
              </c:pt>
              <c:pt idx="40">
                <c:v>OM3-012_30 min</c:v>
              </c:pt>
              <c:pt idx="41">
                <c:v>OM3-012_60 min</c:v>
              </c:pt>
              <c:pt idx="42">
                <c:v>OM3-012_120 min</c:v>
              </c:pt>
              <c:pt idx="43">
                <c:v>OM3-005_0 min</c:v>
              </c:pt>
              <c:pt idx="44">
                <c:v>OM3-005_5 min</c:v>
              </c:pt>
              <c:pt idx="45">
                <c:v>OM3-005_30 min</c:v>
              </c:pt>
              <c:pt idx="46">
                <c:v>OM3-005_60 min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'VITA Index summary'!$E$5:$E$100</c15:sqref>
                  </c15:fullRef>
                </c:ext>
              </c:extLst>
              <c:f>'VITA Index summary'!$E$5:$E$51</c:f>
              <c:numCache>
                <c:formatCode>0.00</c:formatCode>
                <c:ptCount val="47"/>
                <c:pt idx="0">
                  <c:v>1.57</c:v>
                </c:pt>
                <c:pt idx="1">
                  <c:v>1.57</c:v>
                </c:pt>
                <c:pt idx="2">
                  <c:v>1.57</c:v>
                </c:pt>
                <c:pt idx="3">
                  <c:v>1.57</c:v>
                </c:pt>
                <c:pt idx="4">
                  <c:v>1.57</c:v>
                </c:pt>
                <c:pt idx="5">
                  <c:v>1.57</c:v>
                </c:pt>
                <c:pt idx="6">
                  <c:v>1.57</c:v>
                </c:pt>
                <c:pt idx="7">
                  <c:v>1.57</c:v>
                </c:pt>
                <c:pt idx="8">
                  <c:v>1.57</c:v>
                </c:pt>
                <c:pt idx="9">
                  <c:v>1.57</c:v>
                </c:pt>
                <c:pt idx="10">
                  <c:v>1.57</c:v>
                </c:pt>
                <c:pt idx="11">
                  <c:v>1.57</c:v>
                </c:pt>
                <c:pt idx="12">
                  <c:v>1.57</c:v>
                </c:pt>
                <c:pt idx="13">
                  <c:v>1.57</c:v>
                </c:pt>
                <c:pt idx="14">
                  <c:v>1.57</c:v>
                </c:pt>
                <c:pt idx="15">
                  <c:v>1.57</c:v>
                </c:pt>
                <c:pt idx="16">
                  <c:v>1.57</c:v>
                </c:pt>
                <c:pt idx="17">
                  <c:v>1.57</c:v>
                </c:pt>
                <c:pt idx="18">
                  <c:v>1.57</c:v>
                </c:pt>
                <c:pt idx="19">
                  <c:v>1.57</c:v>
                </c:pt>
                <c:pt idx="20">
                  <c:v>1.57</c:v>
                </c:pt>
                <c:pt idx="21">
                  <c:v>1.57</c:v>
                </c:pt>
                <c:pt idx="22">
                  <c:v>1.57</c:v>
                </c:pt>
                <c:pt idx="23">
                  <c:v>1.57</c:v>
                </c:pt>
                <c:pt idx="24">
                  <c:v>1.57</c:v>
                </c:pt>
                <c:pt idx="25">
                  <c:v>1.57</c:v>
                </c:pt>
                <c:pt idx="26">
                  <c:v>1.57</c:v>
                </c:pt>
                <c:pt idx="27">
                  <c:v>1.57</c:v>
                </c:pt>
                <c:pt idx="28">
                  <c:v>1.57</c:v>
                </c:pt>
                <c:pt idx="29">
                  <c:v>1.57</c:v>
                </c:pt>
                <c:pt idx="30">
                  <c:v>1.57</c:v>
                </c:pt>
                <c:pt idx="31">
                  <c:v>1.57</c:v>
                </c:pt>
                <c:pt idx="32">
                  <c:v>1.57</c:v>
                </c:pt>
                <c:pt idx="33">
                  <c:v>1.57</c:v>
                </c:pt>
                <c:pt idx="34">
                  <c:v>1.57</c:v>
                </c:pt>
                <c:pt idx="35">
                  <c:v>1.57</c:v>
                </c:pt>
                <c:pt idx="36">
                  <c:v>1.57</c:v>
                </c:pt>
                <c:pt idx="37">
                  <c:v>1.57</c:v>
                </c:pt>
                <c:pt idx="38">
                  <c:v>1.57</c:v>
                </c:pt>
                <c:pt idx="39">
                  <c:v>1.57</c:v>
                </c:pt>
                <c:pt idx="40">
                  <c:v>1.57</c:v>
                </c:pt>
                <c:pt idx="41">
                  <c:v>1.57</c:v>
                </c:pt>
                <c:pt idx="42">
                  <c:v>1.57</c:v>
                </c:pt>
                <c:pt idx="43">
                  <c:v>1.57</c:v>
                </c:pt>
                <c:pt idx="44">
                  <c:v>1.57</c:v>
                </c:pt>
                <c:pt idx="45">
                  <c:v>1.57</c:v>
                </c:pt>
                <c:pt idx="46">
                  <c:v>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F1-4ADC-BA59-EC8941F98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0935775"/>
        <c:axId val="860936735"/>
      </c:lineChart>
      <c:catAx>
        <c:axId val="86093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936735"/>
        <c:crosses val="autoZero"/>
        <c:auto val="1"/>
        <c:lblAlgn val="ctr"/>
        <c:lblOffset val="100"/>
        <c:noMultiLvlLbl val="0"/>
      </c:catAx>
      <c:valAx>
        <c:axId val="86093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VITA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93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400047</xdr:colOff>
      <xdr:row>1</xdr:row>
      <xdr:rowOff>42862</xdr:rowOff>
    </xdr:from>
    <xdr:to>
      <xdr:col>31</xdr:col>
      <xdr:colOff>498929</xdr:colOff>
      <xdr:row>26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814101-BCA4-F704-F54A-C741577B1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504825</xdr:colOff>
      <xdr:row>28</xdr:row>
      <xdr:rowOff>57150</xdr:rowOff>
    </xdr:from>
    <xdr:to>
      <xdr:col>31</xdr:col>
      <xdr:colOff>514048</xdr:colOff>
      <xdr:row>53</xdr:row>
      <xdr:rowOff>166688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F6B16A-6F8B-4917-9B04-87A41C8E2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56B072-8CFA-401C-8811-EDC326061DD6}" name="Tbl_Input" displayName="Tbl_Input" ref="A9:U545" totalsRowShown="0" headerRowDxfId="72" dataDxfId="71">
  <autoFilter ref="A9:U545" xr:uid="{74C50790-AF2C-40DD-BECC-A5627B47D6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xr3:uid="{EE2430E2-F776-4C26-B74F-112DC9160AD7}" name="Well" dataDxfId="70"/>
    <tableColumn id="2" xr3:uid="{4B4EB8E3-CE66-47B5-B850-E5DBE93C3FFC}" name="Well Position" dataDxfId="69"/>
    <tableColumn id="3" xr3:uid="{42AE35DF-A54F-471A-BB70-4BB0D8C6A8A3}" name="Omit" dataDxfId="68"/>
    <tableColumn id="4" xr3:uid="{71002BF2-77A8-43DC-BBBB-2767402042DB}" name="Sample" dataDxfId="67"/>
    <tableColumn id="5" xr3:uid="{6F5173E5-72AA-4F1C-9072-25B412E54025}" name="Target" dataDxfId="66"/>
    <tableColumn id="6" xr3:uid="{A09CADBE-E12A-43AA-9137-21D552ADC306}" name="Task" dataDxfId="65"/>
    <tableColumn id="7" xr3:uid="{000FE38B-EBA2-413D-B170-BA2CD8372A58}" name="Reporter" dataDxfId="64"/>
    <tableColumn id="8" xr3:uid="{282DBC8B-1909-4006-A052-4F060BFDBD8A}" name="Quencher" dataDxfId="63"/>
    <tableColumn id="9" xr3:uid="{389F6EE7-B765-4407-A2AD-CF99658F9646}" name="Amp Status" dataDxfId="62"/>
    <tableColumn id="10" xr3:uid="{09BD2CEC-6F15-4011-B3C3-42FDACD04FCD}" name="Amp Score" dataDxfId="61"/>
    <tableColumn id="11" xr3:uid="{E755EA50-7BCB-43AE-A52C-D3514B172409}" name="Curve Quality" dataDxfId="60"/>
    <tableColumn id="12" xr3:uid="{F30A45B3-FD65-462A-9B16-67E4BE341855}" name="Result Quality Issues" dataDxfId="59"/>
    <tableColumn id="13" xr3:uid="{F4D9324D-1F4A-476A-9CA6-3DFD68E93ED4}" name="Cq" dataDxfId="58"/>
    <tableColumn id="14" xr3:uid="{73A86866-0B9E-43C7-ADAC-01CD9C899159}" name="Cq Confidence" dataDxfId="57"/>
    <tableColumn id="15" xr3:uid="{818542DD-C148-4586-86C3-AC598E136189}" name="Cq Mean" dataDxfId="56"/>
    <tableColumn id="16" xr3:uid="{ADEC8558-3827-4FC1-9791-1CA3F8324F17}" name="Cq SD" dataDxfId="55"/>
    <tableColumn id="17" xr3:uid="{D5DFE349-4BFF-42E5-9DBD-9FB60F99E880}" name="Auto Threshold" dataDxfId="54"/>
    <tableColumn id="18" xr3:uid="{3D5E4F70-863A-408D-9B3D-45D7B6FD5B49}" name="Threshold" dataDxfId="53"/>
    <tableColumn id="19" xr3:uid="{E5E19B3C-CD7A-40DE-875F-CD519A349409}" name="Auto Baseline" dataDxfId="52"/>
    <tableColumn id="20" xr3:uid="{F04B0380-BCDF-4438-96FC-925FC94B8ED6}" name="Baseline Start" dataDxfId="51"/>
    <tableColumn id="21" xr3:uid="{F62042B1-0B81-4AF6-8598-A59E7944F8B4}" name="Baseline End" dataDxfId="5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AC82C-8A00-46EC-81A3-C7C839A4665F}">
  <dimension ref="A1:AC22"/>
  <sheetViews>
    <sheetView showGridLines="0" workbookViewId="0">
      <selection activeCell="M26" sqref="M26"/>
    </sheetView>
  </sheetViews>
  <sheetFormatPr defaultRowHeight="15" x14ac:dyDescent="0.25"/>
  <sheetData>
    <row r="1" spans="1:29" ht="21" x14ac:dyDescent="0.35">
      <c r="A1" s="71" t="s">
        <v>114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</row>
    <row r="2" spans="1:29" ht="17.25" x14ac:dyDescent="0.25">
      <c r="A2" t="s">
        <v>295</v>
      </c>
    </row>
    <row r="3" spans="1:29" x14ac:dyDescent="0.25">
      <c r="A3" t="s">
        <v>115</v>
      </c>
    </row>
    <row r="4" spans="1:29" x14ac:dyDescent="0.25">
      <c r="A4" t="s">
        <v>118</v>
      </c>
      <c r="Q4" t="s">
        <v>116</v>
      </c>
    </row>
    <row r="5" spans="1:29" x14ac:dyDescent="0.25">
      <c r="A5" t="s">
        <v>117</v>
      </c>
      <c r="P5" s="70" t="e" vm="1">
        <v>#VALUE!</v>
      </c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</row>
    <row r="6" spans="1:29" x14ac:dyDescent="0.25">
      <c r="A6" t="s">
        <v>296</v>
      </c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</row>
    <row r="7" spans="1:29" x14ac:dyDescent="0.25"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</row>
    <row r="8" spans="1:29" x14ac:dyDescent="0.25">
      <c r="A8" t="s">
        <v>293</v>
      </c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</row>
    <row r="9" spans="1:29" x14ac:dyDescent="0.25">
      <c r="A9" t="s">
        <v>294</v>
      </c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</row>
    <row r="10" spans="1:29" x14ac:dyDescent="0.25"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</row>
    <row r="11" spans="1:29" x14ac:dyDescent="0.25"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</row>
    <row r="12" spans="1:29" x14ac:dyDescent="0.25"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</row>
    <row r="13" spans="1:29" x14ac:dyDescent="0.25"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</row>
    <row r="14" spans="1:29" x14ac:dyDescent="0.25"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</row>
    <row r="15" spans="1:29" x14ac:dyDescent="0.25"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</row>
    <row r="16" spans="1:29" x14ac:dyDescent="0.25"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</row>
    <row r="17" spans="16:29" x14ac:dyDescent="0.25"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</row>
    <row r="18" spans="16:29" x14ac:dyDescent="0.25"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</row>
    <row r="19" spans="16:29" x14ac:dyDescent="0.25"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</row>
    <row r="20" spans="16:29" x14ac:dyDescent="0.25"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</row>
    <row r="21" spans="16:29" x14ac:dyDescent="0.25"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</row>
    <row r="22" spans="16:29" x14ac:dyDescent="0.25"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</row>
  </sheetData>
  <sheetProtection selectLockedCells="1" selectUnlockedCells="1"/>
  <mergeCells count="2">
    <mergeCell ref="P5:AC22"/>
    <mergeCell ref="A1:A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C0310-634B-4744-ACDD-B1E40C96DC98}">
  <dimension ref="A1:U545"/>
  <sheetViews>
    <sheetView zoomScale="55" zoomScaleNormal="55" workbookViewId="0">
      <selection activeCell="Z49" sqref="Z49"/>
    </sheetView>
  </sheetViews>
  <sheetFormatPr defaultRowHeight="15" x14ac:dyDescent="0.25"/>
  <cols>
    <col min="1" max="1" width="16.28515625" bestFit="1" customWidth="1"/>
    <col min="2" max="2" width="17.7109375" bestFit="1" customWidth="1"/>
    <col min="4" max="4" width="9.7109375" customWidth="1"/>
    <col min="5" max="5" width="23.7109375" customWidth="1"/>
    <col min="7" max="7" width="11" customWidth="1"/>
    <col min="8" max="8" width="11.85546875" customWidth="1"/>
    <col min="9" max="9" width="13.140625" customWidth="1"/>
    <col min="10" max="10" width="12.5703125" customWidth="1"/>
    <col min="11" max="11" width="15.140625" customWidth="1"/>
    <col min="12" max="12" width="21.42578125" customWidth="1"/>
    <col min="14" max="14" width="16" customWidth="1"/>
    <col min="15" max="15" width="11" customWidth="1"/>
    <col min="17" max="17" width="16.7109375" customWidth="1"/>
    <col min="18" max="18" width="12" customWidth="1"/>
    <col min="19" max="19" width="15.42578125" customWidth="1"/>
    <col min="20" max="20" width="15.28515625" customWidth="1"/>
    <col min="21" max="21" width="14.42578125" customWidth="1"/>
    <col min="28" max="28" width="23.140625" customWidth="1"/>
  </cols>
  <sheetData>
    <row r="1" spans="1:21" s="45" customFormat="1" ht="15.75" thickBot="1" x14ac:dyDescent="0.3">
      <c r="A1" s="44" t="s">
        <v>9</v>
      </c>
      <c r="B1" s="72" t="s">
        <v>210</v>
      </c>
    </row>
    <row r="2" spans="1:21" s="47" customFormat="1" x14ac:dyDescent="0.25">
      <c r="A2" s="46" t="s">
        <v>10</v>
      </c>
      <c r="B2" s="72"/>
    </row>
    <row r="3" spans="1:21" s="47" customFormat="1" x14ac:dyDescent="0.25">
      <c r="A3" s="48" t="s">
        <v>11</v>
      </c>
      <c r="B3" s="72"/>
    </row>
    <row r="4" spans="1:21" s="47" customFormat="1" x14ac:dyDescent="0.25">
      <c r="A4" s="48" t="s">
        <v>12</v>
      </c>
      <c r="B4" s="72"/>
    </row>
    <row r="5" spans="1:21" s="47" customFormat="1" x14ac:dyDescent="0.25">
      <c r="A5" s="48" t="s">
        <v>13</v>
      </c>
      <c r="B5" s="72"/>
    </row>
    <row r="6" spans="1:21" s="47" customFormat="1" x14ac:dyDescent="0.25">
      <c r="A6" s="48" t="s">
        <v>14</v>
      </c>
      <c r="B6" s="72"/>
    </row>
    <row r="7" spans="1:21" s="47" customFormat="1" ht="15.75" thickBot="1" x14ac:dyDescent="0.3">
      <c r="A7" s="49"/>
      <c r="B7" s="72"/>
    </row>
    <row r="8" spans="1:21" s="45" customFormat="1" x14ac:dyDescent="0.25">
      <c r="B8" s="72"/>
    </row>
    <row r="9" spans="1:21" x14ac:dyDescent="0.25">
      <c r="A9" s="50" t="s">
        <v>15</v>
      </c>
      <c r="B9" s="50" t="s">
        <v>16</v>
      </c>
      <c r="C9" s="50" t="s">
        <v>17</v>
      </c>
      <c r="D9" s="50" t="s">
        <v>18</v>
      </c>
      <c r="E9" s="50" t="s">
        <v>19</v>
      </c>
      <c r="F9" s="50" t="s">
        <v>20</v>
      </c>
      <c r="G9" s="50" t="s">
        <v>21</v>
      </c>
      <c r="H9" s="50" t="s">
        <v>22</v>
      </c>
      <c r="I9" s="50" t="s">
        <v>23</v>
      </c>
      <c r="J9" s="50" t="s">
        <v>24</v>
      </c>
      <c r="K9" s="50" t="s">
        <v>25</v>
      </c>
      <c r="L9" s="50" t="s">
        <v>26</v>
      </c>
      <c r="M9" s="50" t="s">
        <v>27</v>
      </c>
      <c r="N9" s="50" t="s">
        <v>28</v>
      </c>
      <c r="O9" s="50" t="s">
        <v>29</v>
      </c>
      <c r="P9" s="50" t="s">
        <v>30</v>
      </c>
      <c r="Q9" s="50" t="s">
        <v>31</v>
      </c>
      <c r="R9" s="50" t="s">
        <v>32</v>
      </c>
      <c r="S9" s="50" t="s">
        <v>33</v>
      </c>
      <c r="T9" s="50" t="s">
        <v>34</v>
      </c>
      <c r="U9" s="50" t="s">
        <v>35</v>
      </c>
    </row>
    <row r="10" spans="1:21" x14ac:dyDescent="0.25">
      <c r="A10" s="52">
        <v>1</v>
      </c>
      <c r="B10" s="52" t="s">
        <v>63</v>
      </c>
      <c r="C10" s="52" t="b">
        <v>0</v>
      </c>
      <c r="D10" s="52" t="s">
        <v>159</v>
      </c>
      <c r="E10" s="52" t="s">
        <v>37</v>
      </c>
      <c r="F10" s="52" t="s">
        <v>38</v>
      </c>
      <c r="G10" s="52" t="s">
        <v>11</v>
      </c>
      <c r="H10" s="52" t="s">
        <v>39</v>
      </c>
      <c r="I10" s="52" t="s">
        <v>47</v>
      </c>
      <c r="J10" s="52">
        <v>2.761565213710683</v>
      </c>
      <c r="K10" s="52" t="s">
        <v>160</v>
      </c>
      <c r="L10" s="52" t="s">
        <v>160</v>
      </c>
      <c r="M10" s="52">
        <v>29.146242074141419</v>
      </c>
      <c r="N10" s="52">
        <v>0.9483196257888471</v>
      </c>
      <c r="O10" s="52">
        <v>29.146242074141419</v>
      </c>
      <c r="P10" s="52" t="s">
        <v>160</v>
      </c>
      <c r="Q10" s="52" t="b">
        <v>0</v>
      </c>
      <c r="R10" s="52">
        <v>74142.899999999994</v>
      </c>
      <c r="S10" s="52" t="b">
        <v>1</v>
      </c>
      <c r="T10" s="52">
        <v>3</v>
      </c>
      <c r="U10" s="52">
        <v>19</v>
      </c>
    </row>
    <row r="11" spans="1:21" x14ac:dyDescent="0.25">
      <c r="A11" s="52">
        <v>1</v>
      </c>
      <c r="B11" s="52" t="s">
        <v>63</v>
      </c>
      <c r="C11" s="52" t="b">
        <v>0</v>
      </c>
      <c r="D11" s="52" t="s">
        <v>159</v>
      </c>
      <c r="E11" s="52" t="s">
        <v>42</v>
      </c>
      <c r="F11" s="52" t="s">
        <v>38</v>
      </c>
      <c r="G11" s="52" t="s">
        <v>13</v>
      </c>
      <c r="H11" s="52" t="s">
        <v>39</v>
      </c>
      <c r="I11" s="52" t="s">
        <v>47</v>
      </c>
      <c r="J11" s="52">
        <v>2.6560832547622502</v>
      </c>
      <c r="K11" s="52" t="s">
        <v>160</v>
      </c>
      <c r="L11" s="52" t="s">
        <v>160</v>
      </c>
      <c r="M11" s="52">
        <v>32.168682949648222</v>
      </c>
      <c r="N11" s="52">
        <v>0.90271862926900004</v>
      </c>
      <c r="O11" s="52">
        <v>32.168682949648222</v>
      </c>
      <c r="P11" s="52" t="s">
        <v>160</v>
      </c>
      <c r="Q11" s="52" t="b">
        <v>0</v>
      </c>
      <c r="R11" s="52">
        <v>46910.862999999998</v>
      </c>
      <c r="S11" s="52" t="b">
        <v>1</v>
      </c>
      <c r="T11" s="52">
        <v>3</v>
      </c>
      <c r="U11" s="52">
        <v>24</v>
      </c>
    </row>
    <row r="12" spans="1:21" x14ac:dyDescent="0.25">
      <c r="A12" s="52">
        <v>1</v>
      </c>
      <c r="B12" s="52" t="s">
        <v>63</v>
      </c>
      <c r="C12" s="52" t="b">
        <v>0</v>
      </c>
      <c r="D12" s="52" t="s">
        <v>159</v>
      </c>
      <c r="E12" s="52" t="s">
        <v>43</v>
      </c>
      <c r="F12" s="52" t="s">
        <v>38</v>
      </c>
      <c r="G12" s="52" t="s">
        <v>12</v>
      </c>
      <c r="H12" s="52" t="s">
        <v>39</v>
      </c>
      <c r="I12" s="52" t="s">
        <v>40</v>
      </c>
      <c r="J12" s="52">
        <v>0</v>
      </c>
      <c r="K12" s="52" t="s">
        <v>160</v>
      </c>
      <c r="L12" s="52" t="s">
        <v>160</v>
      </c>
      <c r="M12" s="52" t="s">
        <v>41</v>
      </c>
      <c r="N12" s="52">
        <v>0</v>
      </c>
      <c r="O12" s="52" t="s">
        <v>160</v>
      </c>
      <c r="P12" s="52" t="s">
        <v>160</v>
      </c>
      <c r="Q12" s="52" t="b">
        <v>0</v>
      </c>
      <c r="R12" s="52">
        <v>69932.437000000005</v>
      </c>
      <c r="S12" s="52" t="b">
        <v>1</v>
      </c>
      <c r="T12" s="52">
        <v>3</v>
      </c>
      <c r="U12" s="52">
        <v>49</v>
      </c>
    </row>
    <row r="13" spans="1:21" x14ac:dyDescent="0.25">
      <c r="A13" s="52">
        <v>1</v>
      </c>
      <c r="B13" s="52" t="s">
        <v>63</v>
      </c>
      <c r="C13" s="52" t="b">
        <v>0</v>
      </c>
      <c r="D13" s="52" t="s">
        <v>159</v>
      </c>
      <c r="E13" s="52" t="s">
        <v>44</v>
      </c>
      <c r="F13" s="52" t="s">
        <v>38</v>
      </c>
      <c r="G13" s="52" t="s">
        <v>14</v>
      </c>
      <c r="H13" s="52" t="s">
        <v>39</v>
      </c>
      <c r="I13" s="52" t="s">
        <v>47</v>
      </c>
      <c r="J13" s="52">
        <v>2.559936620599335</v>
      </c>
      <c r="K13" s="52" t="s">
        <v>160</v>
      </c>
      <c r="L13" s="52" t="s">
        <v>160</v>
      </c>
      <c r="M13" s="52">
        <v>25.555587796287064</v>
      </c>
      <c r="N13" s="52">
        <v>0.89509689712883667</v>
      </c>
      <c r="O13" s="52">
        <v>25.555587796287064</v>
      </c>
      <c r="P13" s="52" t="s">
        <v>160</v>
      </c>
      <c r="Q13" s="52" t="b">
        <v>0</v>
      </c>
      <c r="R13" s="52">
        <v>47660.913</v>
      </c>
      <c r="S13" s="52" t="b">
        <v>1</v>
      </c>
      <c r="T13" s="52">
        <v>3</v>
      </c>
      <c r="U13" s="52">
        <v>17</v>
      </c>
    </row>
    <row r="14" spans="1:21" x14ac:dyDescent="0.25">
      <c r="A14" s="52">
        <v>1</v>
      </c>
      <c r="B14" s="52" t="s">
        <v>63</v>
      </c>
      <c r="C14" s="52" t="b">
        <v>0</v>
      </c>
      <c r="D14" s="52" t="s">
        <v>159</v>
      </c>
      <c r="E14" s="52" t="s">
        <v>45</v>
      </c>
      <c r="F14" s="52" t="s">
        <v>38</v>
      </c>
      <c r="G14" s="52" t="s">
        <v>10</v>
      </c>
      <c r="H14" s="52" t="s">
        <v>39</v>
      </c>
      <c r="I14" s="52" t="s">
        <v>139</v>
      </c>
      <c r="J14" s="52">
        <v>0</v>
      </c>
      <c r="K14" s="52" t="s">
        <v>160</v>
      </c>
      <c r="L14" s="52" t="s">
        <v>160</v>
      </c>
      <c r="M14" s="52" t="s">
        <v>41</v>
      </c>
      <c r="N14" s="52">
        <v>0</v>
      </c>
      <c r="O14" s="52" t="s">
        <v>160</v>
      </c>
      <c r="P14" s="52" t="s">
        <v>160</v>
      </c>
      <c r="Q14" s="52" t="b">
        <v>0</v>
      </c>
      <c r="R14" s="52">
        <v>161088.065</v>
      </c>
      <c r="S14" s="52" t="b">
        <v>1</v>
      </c>
      <c r="T14" s="52">
        <v>3</v>
      </c>
      <c r="U14" s="52">
        <v>49</v>
      </c>
    </row>
    <row r="15" spans="1:21" x14ac:dyDescent="0.25">
      <c r="A15" s="52">
        <v>2</v>
      </c>
      <c r="B15" s="52" t="s">
        <v>64</v>
      </c>
      <c r="C15" s="52" t="b">
        <v>0</v>
      </c>
      <c r="D15" s="52" t="s">
        <v>161</v>
      </c>
      <c r="E15" s="52" t="s">
        <v>37</v>
      </c>
      <c r="F15" s="52" t="s">
        <v>38</v>
      </c>
      <c r="G15" s="52" t="s">
        <v>11</v>
      </c>
      <c r="H15" s="52" t="s">
        <v>39</v>
      </c>
      <c r="I15" s="52" t="s">
        <v>47</v>
      </c>
      <c r="J15" s="52">
        <v>2.7429425715447788</v>
      </c>
      <c r="K15" s="52" t="s">
        <v>160</v>
      </c>
      <c r="L15" s="52" t="s">
        <v>160</v>
      </c>
      <c r="M15" s="52">
        <v>29.199534968588281</v>
      </c>
      <c r="N15" s="52">
        <v>0.9795671336270142</v>
      </c>
      <c r="O15" s="52">
        <v>29.199534968588281</v>
      </c>
      <c r="P15" s="52" t="s">
        <v>160</v>
      </c>
      <c r="Q15" s="52" t="b">
        <v>0</v>
      </c>
      <c r="R15" s="52">
        <v>74142.899999999994</v>
      </c>
      <c r="S15" s="52" t="b">
        <v>1</v>
      </c>
      <c r="T15" s="52">
        <v>3</v>
      </c>
      <c r="U15" s="52">
        <v>21</v>
      </c>
    </row>
    <row r="16" spans="1:21" x14ac:dyDescent="0.25">
      <c r="A16" s="52">
        <v>2</v>
      </c>
      <c r="B16" s="52" t="s">
        <v>64</v>
      </c>
      <c r="C16" s="52" t="b">
        <v>0</v>
      </c>
      <c r="D16" s="52" t="s">
        <v>161</v>
      </c>
      <c r="E16" s="52" t="s">
        <v>42</v>
      </c>
      <c r="F16" s="52" t="s">
        <v>38</v>
      </c>
      <c r="G16" s="52" t="s">
        <v>13</v>
      </c>
      <c r="H16" s="52" t="s">
        <v>39</v>
      </c>
      <c r="I16" s="52" t="s">
        <v>47</v>
      </c>
      <c r="J16" s="52">
        <v>2.6533128206721872</v>
      </c>
      <c r="K16" s="52" t="s">
        <v>160</v>
      </c>
      <c r="L16" s="52" t="s">
        <v>160</v>
      </c>
      <c r="M16" s="52">
        <v>32.394622732862572</v>
      </c>
      <c r="N16" s="52">
        <v>0.93205004600231123</v>
      </c>
      <c r="O16" s="52">
        <v>32.394622732862572</v>
      </c>
      <c r="P16" s="52" t="s">
        <v>160</v>
      </c>
      <c r="Q16" s="52" t="b">
        <v>0</v>
      </c>
      <c r="R16" s="52">
        <v>46910.862999999998</v>
      </c>
      <c r="S16" s="52" t="b">
        <v>1</v>
      </c>
      <c r="T16" s="52">
        <v>3</v>
      </c>
      <c r="U16" s="52">
        <v>25</v>
      </c>
    </row>
    <row r="17" spans="1:21" x14ac:dyDescent="0.25">
      <c r="A17" s="52">
        <v>2</v>
      </c>
      <c r="B17" s="52" t="s">
        <v>64</v>
      </c>
      <c r="C17" s="52" t="b">
        <v>0</v>
      </c>
      <c r="D17" s="52" t="s">
        <v>161</v>
      </c>
      <c r="E17" s="52" t="s">
        <v>43</v>
      </c>
      <c r="F17" s="52" t="s">
        <v>38</v>
      </c>
      <c r="G17" s="52" t="s">
        <v>12</v>
      </c>
      <c r="H17" s="52" t="s">
        <v>39</v>
      </c>
      <c r="I17" s="52" t="s">
        <v>40</v>
      </c>
      <c r="J17" s="52">
        <v>0</v>
      </c>
      <c r="K17" s="52" t="s">
        <v>160</v>
      </c>
      <c r="L17" s="52" t="s">
        <v>160</v>
      </c>
      <c r="M17" s="52" t="s">
        <v>41</v>
      </c>
      <c r="N17" s="52">
        <v>0</v>
      </c>
      <c r="O17" s="52" t="s">
        <v>160</v>
      </c>
      <c r="P17" s="52" t="s">
        <v>160</v>
      </c>
      <c r="Q17" s="52" t="b">
        <v>0</v>
      </c>
      <c r="R17" s="52">
        <v>69932.437000000005</v>
      </c>
      <c r="S17" s="52" t="b">
        <v>1</v>
      </c>
      <c r="T17" s="52">
        <v>3</v>
      </c>
      <c r="U17" s="52">
        <v>49</v>
      </c>
    </row>
    <row r="18" spans="1:21" x14ac:dyDescent="0.25">
      <c r="A18" s="52">
        <v>2</v>
      </c>
      <c r="B18" s="52" t="s">
        <v>64</v>
      </c>
      <c r="C18" s="52" t="b">
        <v>0</v>
      </c>
      <c r="D18" s="52" t="s">
        <v>161</v>
      </c>
      <c r="E18" s="52" t="s">
        <v>44</v>
      </c>
      <c r="F18" s="52" t="s">
        <v>38</v>
      </c>
      <c r="G18" s="52" t="s">
        <v>14</v>
      </c>
      <c r="H18" s="52" t="s">
        <v>39</v>
      </c>
      <c r="I18" s="52" t="s">
        <v>47</v>
      </c>
      <c r="J18" s="52">
        <v>2.5671184453488891</v>
      </c>
      <c r="K18" s="52" t="s">
        <v>160</v>
      </c>
      <c r="L18" s="52" t="s">
        <v>160</v>
      </c>
      <c r="M18" s="52">
        <v>26.303906660252636</v>
      </c>
      <c r="N18" s="52">
        <v>0.92983661428599773</v>
      </c>
      <c r="O18" s="52">
        <v>26.303906660252636</v>
      </c>
      <c r="P18" s="52" t="s">
        <v>160</v>
      </c>
      <c r="Q18" s="52" t="b">
        <v>0</v>
      </c>
      <c r="R18" s="52">
        <v>47660.913</v>
      </c>
      <c r="S18" s="52" t="b">
        <v>1</v>
      </c>
      <c r="T18" s="52">
        <v>3</v>
      </c>
      <c r="U18" s="52">
        <v>17</v>
      </c>
    </row>
    <row r="19" spans="1:21" x14ac:dyDescent="0.25">
      <c r="A19" s="52">
        <v>2</v>
      </c>
      <c r="B19" s="52" t="s">
        <v>64</v>
      </c>
      <c r="C19" s="52" t="b">
        <v>0</v>
      </c>
      <c r="D19" s="52" t="s">
        <v>161</v>
      </c>
      <c r="E19" s="52" t="s">
        <v>45</v>
      </c>
      <c r="F19" s="52" t="s">
        <v>38</v>
      </c>
      <c r="G19" s="52" t="s">
        <v>10</v>
      </c>
      <c r="H19" s="52" t="s">
        <v>39</v>
      </c>
      <c r="I19" s="52" t="s">
        <v>40</v>
      </c>
      <c r="J19" s="52">
        <v>2.13151310413879</v>
      </c>
      <c r="K19" s="52" t="s">
        <v>160</v>
      </c>
      <c r="L19" s="52" t="s">
        <v>160</v>
      </c>
      <c r="M19" s="52" t="s">
        <v>41</v>
      </c>
      <c r="N19" s="52">
        <v>0</v>
      </c>
      <c r="O19" s="52" t="s">
        <v>160</v>
      </c>
      <c r="P19" s="52" t="s">
        <v>160</v>
      </c>
      <c r="Q19" s="52" t="b">
        <v>0</v>
      </c>
      <c r="R19" s="52">
        <v>161088.065</v>
      </c>
      <c r="S19" s="52" t="b">
        <v>1</v>
      </c>
      <c r="T19" s="52">
        <v>3</v>
      </c>
      <c r="U19" s="52">
        <v>49</v>
      </c>
    </row>
    <row r="20" spans="1:21" x14ac:dyDescent="0.25">
      <c r="A20" s="52">
        <v>3</v>
      </c>
      <c r="B20" s="52" t="s">
        <v>65</v>
      </c>
      <c r="C20" s="52" t="b">
        <v>0</v>
      </c>
      <c r="D20" s="52" t="s">
        <v>162</v>
      </c>
      <c r="E20" s="52" t="s">
        <v>37</v>
      </c>
      <c r="F20" s="52" t="s">
        <v>38</v>
      </c>
      <c r="G20" s="52" t="s">
        <v>11</v>
      </c>
      <c r="H20" s="52" t="s">
        <v>39</v>
      </c>
      <c r="I20" s="52" t="s">
        <v>47</v>
      </c>
      <c r="J20" s="52">
        <v>2.7554182681961827</v>
      </c>
      <c r="K20" s="52" t="s">
        <v>160</v>
      </c>
      <c r="L20" s="52" t="s">
        <v>160</v>
      </c>
      <c r="M20" s="52">
        <v>30.55869180275991</v>
      </c>
      <c r="N20" s="52">
        <v>0.95666817700438656</v>
      </c>
      <c r="O20" s="52">
        <v>30.55869180275991</v>
      </c>
      <c r="P20" s="52" t="s">
        <v>160</v>
      </c>
      <c r="Q20" s="52" t="b">
        <v>0</v>
      </c>
      <c r="R20" s="52">
        <v>74142.899999999994</v>
      </c>
      <c r="S20" s="52" t="b">
        <v>1</v>
      </c>
      <c r="T20" s="52">
        <v>3</v>
      </c>
      <c r="U20" s="52">
        <v>20</v>
      </c>
    </row>
    <row r="21" spans="1:21" x14ac:dyDescent="0.25">
      <c r="A21" s="52">
        <v>3</v>
      </c>
      <c r="B21" s="52" t="s">
        <v>65</v>
      </c>
      <c r="C21" s="52" t="b">
        <v>0</v>
      </c>
      <c r="D21" s="52" t="s">
        <v>162</v>
      </c>
      <c r="E21" s="52" t="s">
        <v>42</v>
      </c>
      <c r="F21" s="52" t="s">
        <v>38</v>
      </c>
      <c r="G21" s="52" t="s">
        <v>13</v>
      </c>
      <c r="H21" s="52" t="s">
        <v>39</v>
      </c>
      <c r="I21" s="52" t="s">
        <v>47</v>
      </c>
      <c r="J21" s="52">
        <v>2.6907589627076871</v>
      </c>
      <c r="K21" s="52" t="s">
        <v>160</v>
      </c>
      <c r="L21" s="52" t="s">
        <v>160</v>
      </c>
      <c r="M21" s="52">
        <v>33.338086406395163</v>
      </c>
      <c r="N21" s="52">
        <v>0.89359767094961118</v>
      </c>
      <c r="O21" s="52">
        <v>33.338086406395163</v>
      </c>
      <c r="P21" s="52" t="s">
        <v>160</v>
      </c>
      <c r="Q21" s="52" t="b">
        <v>0</v>
      </c>
      <c r="R21" s="52">
        <v>46910.862999999998</v>
      </c>
      <c r="S21" s="52" t="b">
        <v>1</v>
      </c>
      <c r="T21" s="52">
        <v>3</v>
      </c>
      <c r="U21" s="52">
        <v>25</v>
      </c>
    </row>
    <row r="22" spans="1:21" x14ac:dyDescent="0.25">
      <c r="A22" s="52">
        <v>3</v>
      </c>
      <c r="B22" s="52" t="s">
        <v>65</v>
      </c>
      <c r="C22" s="52" t="b">
        <v>0</v>
      </c>
      <c r="D22" s="52" t="s">
        <v>162</v>
      </c>
      <c r="E22" s="52" t="s">
        <v>43</v>
      </c>
      <c r="F22" s="52" t="s">
        <v>38</v>
      </c>
      <c r="G22" s="52" t="s">
        <v>12</v>
      </c>
      <c r="H22" s="52" t="s">
        <v>39</v>
      </c>
      <c r="I22" s="52" t="s">
        <v>40</v>
      </c>
      <c r="J22" s="52">
        <v>0</v>
      </c>
      <c r="K22" s="52" t="s">
        <v>160</v>
      </c>
      <c r="L22" s="52" t="s">
        <v>160</v>
      </c>
      <c r="M22" s="52" t="s">
        <v>41</v>
      </c>
      <c r="N22" s="52">
        <v>0</v>
      </c>
      <c r="O22" s="52" t="s">
        <v>160</v>
      </c>
      <c r="P22" s="52" t="s">
        <v>160</v>
      </c>
      <c r="Q22" s="52" t="b">
        <v>0</v>
      </c>
      <c r="R22" s="52">
        <v>69932.437000000005</v>
      </c>
      <c r="S22" s="52" t="b">
        <v>1</v>
      </c>
      <c r="T22" s="52">
        <v>3</v>
      </c>
      <c r="U22" s="52">
        <v>49</v>
      </c>
    </row>
    <row r="23" spans="1:21" x14ac:dyDescent="0.25">
      <c r="A23" s="52">
        <v>3</v>
      </c>
      <c r="B23" s="52" t="s">
        <v>65</v>
      </c>
      <c r="C23" s="52" t="b">
        <v>0</v>
      </c>
      <c r="D23" s="52" t="s">
        <v>162</v>
      </c>
      <c r="E23" s="52" t="s">
        <v>44</v>
      </c>
      <c r="F23" s="52" t="s">
        <v>38</v>
      </c>
      <c r="G23" s="52" t="s">
        <v>14</v>
      </c>
      <c r="H23" s="52" t="s">
        <v>39</v>
      </c>
      <c r="I23" s="52" t="s">
        <v>47</v>
      </c>
      <c r="J23" s="52">
        <v>2.6132450950551367</v>
      </c>
      <c r="K23" s="52" t="s">
        <v>160</v>
      </c>
      <c r="L23" s="52" t="s">
        <v>160</v>
      </c>
      <c r="M23" s="52">
        <v>28.071379304079308</v>
      </c>
      <c r="N23" s="52">
        <v>0.95041290168220305</v>
      </c>
      <c r="O23" s="52">
        <v>28.071379304079308</v>
      </c>
      <c r="P23" s="52" t="s">
        <v>160</v>
      </c>
      <c r="Q23" s="52" t="b">
        <v>0</v>
      </c>
      <c r="R23" s="52">
        <v>47660.913</v>
      </c>
      <c r="S23" s="52" t="b">
        <v>1</v>
      </c>
      <c r="T23" s="52">
        <v>3</v>
      </c>
      <c r="U23" s="52">
        <v>20</v>
      </c>
    </row>
    <row r="24" spans="1:21" x14ac:dyDescent="0.25">
      <c r="A24" s="52">
        <v>3</v>
      </c>
      <c r="B24" s="52" t="s">
        <v>65</v>
      </c>
      <c r="C24" s="52" t="b">
        <v>0</v>
      </c>
      <c r="D24" s="52" t="s">
        <v>162</v>
      </c>
      <c r="E24" s="52" t="s">
        <v>45</v>
      </c>
      <c r="F24" s="52" t="s">
        <v>38</v>
      </c>
      <c r="G24" s="52" t="s">
        <v>10</v>
      </c>
      <c r="H24" s="52" t="s">
        <v>39</v>
      </c>
      <c r="I24" s="52" t="s">
        <v>40</v>
      </c>
      <c r="J24" s="52">
        <v>0</v>
      </c>
      <c r="K24" s="52" t="s">
        <v>160</v>
      </c>
      <c r="L24" s="52" t="s">
        <v>160</v>
      </c>
      <c r="M24" s="52" t="s">
        <v>41</v>
      </c>
      <c r="N24" s="52">
        <v>0</v>
      </c>
      <c r="O24" s="52" t="s">
        <v>160</v>
      </c>
      <c r="P24" s="52" t="s">
        <v>160</v>
      </c>
      <c r="Q24" s="52" t="b">
        <v>0</v>
      </c>
      <c r="R24" s="52">
        <v>161088.065</v>
      </c>
      <c r="S24" s="52" t="b">
        <v>1</v>
      </c>
      <c r="T24" s="52">
        <v>3</v>
      </c>
      <c r="U24" s="52">
        <v>49</v>
      </c>
    </row>
    <row r="25" spans="1:21" x14ac:dyDescent="0.25">
      <c r="A25" s="52">
        <v>4</v>
      </c>
      <c r="B25" s="52" t="s">
        <v>66</v>
      </c>
      <c r="C25" s="52" t="b">
        <v>0</v>
      </c>
      <c r="D25" s="52" t="s">
        <v>163</v>
      </c>
      <c r="E25" s="52" t="s">
        <v>37</v>
      </c>
      <c r="F25" s="52" t="s">
        <v>38</v>
      </c>
      <c r="G25" s="52" t="s">
        <v>11</v>
      </c>
      <c r="H25" s="52" t="s">
        <v>39</v>
      </c>
      <c r="I25" s="52" t="s">
        <v>47</v>
      </c>
      <c r="J25" s="52">
        <v>2.745224928562946</v>
      </c>
      <c r="K25" s="52" t="s">
        <v>160</v>
      </c>
      <c r="L25" s="52" t="s">
        <v>160</v>
      </c>
      <c r="M25" s="52">
        <v>31.510964868126287</v>
      </c>
      <c r="N25" s="52">
        <v>0.96804566943740944</v>
      </c>
      <c r="O25" s="52">
        <v>31.510964868126287</v>
      </c>
      <c r="P25" s="52" t="s">
        <v>160</v>
      </c>
      <c r="Q25" s="52" t="b">
        <v>0</v>
      </c>
      <c r="R25" s="52">
        <v>74142.899999999994</v>
      </c>
      <c r="S25" s="52" t="b">
        <v>1</v>
      </c>
      <c r="T25" s="52">
        <v>3</v>
      </c>
      <c r="U25" s="52">
        <v>22</v>
      </c>
    </row>
    <row r="26" spans="1:21" x14ac:dyDescent="0.25">
      <c r="A26" s="52">
        <v>4</v>
      </c>
      <c r="B26" s="52" t="s">
        <v>66</v>
      </c>
      <c r="C26" s="52" t="b">
        <v>0</v>
      </c>
      <c r="D26" s="52" t="s">
        <v>163</v>
      </c>
      <c r="E26" s="52" t="s">
        <v>42</v>
      </c>
      <c r="F26" s="52" t="s">
        <v>38</v>
      </c>
      <c r="G26" s="52" t="s">
        <v>13</v>
      </c>
      <c r="H26" s="52" t="s">
        <v>39</v>
      </c>
      <c r="I26" s="52" t="s">
        <v>47</v>
      </c>
      <c r="J26" s="52">
        <v>2.5916021692957916</v>
      </c>
      <c r="K26" s="52" t="s">
        <v>160</v>
      </c>
      <c r="L26" s="52" t="s">
        <v>160</v>
      </c>
      <c r="M26" s="52">
        <v>34.716423910249013</v>
      </c>
      <c r="N26" s="52">
        <v>0.88279331611673684</v>
      </c>
      <c r="O26" s="52">
        <v>34.716423910249013</v>
      </c>
      <c r="P26" s="52" t="s">
        <v>160</v>
      </c>
      <c r="Q26" s="52" t="b">
        <v>0</v>
      </c>
      <c r="R26" s="52">
        <v>46910.862999999998</v>
      </c>
      <c r="S26" s="52" t="b">
        <v>1</v>
      </c>
      <c r="T26" s="52">
        <v>3</v>
      </c>
      <c r="U26" s="52">
        <v>25</v>
      </c>
    </row>
    <row r="27" spans="1:21" x14ac:dyDescent="0.25">
      <c r="A27" s="52">
        <v>4</v>
      </c>
      <c r="B27" s="52" t="s">
        <v>66</v>
      </c>
      <c r="C27" s="52" t="b">
        <v>0</v>
      </c>
      <c r="D27" s="52" t="s">
        <v>163</v>
      </c>
      <c r="E27" s="52" t="s">
        <v>43</v>
      </c>
      <c r="F27" s="52" t="s">
        <v>38</v>
      </c>
      <c r="G27" s="52" t="s">
        <v>12</v>
      </c>
      <c r="H27" s="52" t="s">
        <v>39</v>
      </c>
      <c r="I27" s="52" t="s">
        <v>40</v>
      </c>
      <c r="J27" s="52">
        <v>1.8979552084469182</v>
      </c>
      <c r="K27" s="52" t="s">
        <v>160</v>
      </c>
      <c r="L27" s="52" t="s">
        <v>160</v>
      </c>
      <c r="M27" s="52" t="s">
        <v>41</v>
      </c>
      <c r="N27" s="52">
        <v>0</v>
      </c>
      <c r="O27" s="52" t="s">
        <v>160</v>
      </c>
      <c r="P27" s="52" t="s">
        <v>160</v>
      </c>
      <c r="Q27" s="52" t="b">
        <v>0</v>
      </c>
      <c r="R27" s="52">
        <v>69932.437000000005</v>
      </c>
      <c r="S27" s="52" t="b">
        <v>1</v>
      </c>
      <c r="T27" s="52">
        <v>3</v>
      </c>
      <c r="U27" s="52">
        <v>49</v>
      </c>
    </row>
    <row r="28" spans="1:21" x14ac:dyDescent="0.25">
      <c r="A28" s="52">
        <v>4</v>
      </c>
      <c r="B28" s="52" t="s">
        <v>66</v>
      </c>
      <c r="C28" s="52" t="b">
        <v>0</v>
      </c>
      <c r="D28" s="52" t="s">
        <v>163</v>
      </c>
      <c r="E28" s="52" t="s">
        <v>44</v>
      </c>
      <c r="F28" s="52" t="s">
        <v>38</v>
      </c>
      <c r="G28" s="52" t="s">
        <v>14</v>
      </c>
      <c r="H28" s="52" t="s">
        <v>39</v>
      </c>
      <c r="I28" s="52" t="s">
        <v>47</v>
      </c>
      <c r="J28" s="52">
        <v>2.6242765060057831</v>
      </c>
      <c r="K28" s="52" t="s">
        <v>160</v>
      </c>
      <c r="L28" s="52" t="s">
        <v>160</v>
      </c>
      <c r="M28" s="52">
        <v>26.329328500181404</v>
      </c>
      <c r="N28" s="52">
        <v>0.93585568862974189</v>
      </c>
      <c r="O28" s="52">
        <v>26.329328500181404</v>
      </c>
      <c r="P28" s="52" t="s">
        <v>160</v>
      </c>
      <c r="Q28" s="52" t="b">
        <v>0</v>
      </c>
      <c r="R28" s="52">
        <v>47660.913</v>
      </c>
      <c r="S28" s="52" t="b">
        <v>1</v>
      </c>
      <c r="T28" s="52">
        <v>3</v>
      </c>
      <c r="U28" s="52">
        <v>17</v>
      </c>
    </row>
    <row r="29" spans="1:21" x14ac:dyDescent="0.25">
      <c r="A29" s="52">
        <v>4</v>
      </c>
      <c r="B29" s="52" t="s">
        <v>66</v>
      </c>
      <c r="C29" s="52" t="b">
        <v>0</v>
      </c>
      <c r="D29" s="52" t="s">
        <v>163</v>
      </c>
      <c r="E29" s="52" t="s">
        <v>45</v>
      </c>
      <c r="F29" s="52" t="s">
        <v>38</v>
      </c>
      <c r="G29" s="52" t="s">
        <v>10</v>
      </c>
      <c r="H29" s="52" t="s">
        <v>39</v>
      </c>
      <c r="I29" s="52" t="s">
        <v>139</v>
      </c>
      <c r="J29" s="52">
        <v>0</v>
      </c>
      <c r="K29" s="52" t="s">
        <v>160</v>
      </c>
      <c r="L29" s="52" t="s">
        <v>160</v>
      </c>
      <c r="M29" s="52" t="s">
        <v>41</v>
      </c>
      <c r="N29" s="52">
        <v>0</v>
      </c>
      <c r="O29" s="52" t="s">
        <v>160</v>
      </c>
      <c r="P29" s="52" t="s">
        <v>160</v>
      </c>
      <c r="Q29" s="52" t="b">
        <v>0</v>
      </c>
      <c r="R29" s="52">
        <v>161088.065</v>
      </c>
      <c r="S29" s="52" t="b">
        <v>1</v>
      </c>
      <c r="T29" s="52">
        <v>3</v>
      </c>
      <c r="U29" s="52">
        <v>49</v>
      </c>
    </row>
    <row r="30" spans="1:21" x14ac:dyDescent="0.25">
      <c r="A30" s="52">
        <v>5</v>
      </c>
      <c r="B30" s="52" t="s">
        <v>67</v>
      </c>
      <c r="C30" s="52" t="b">
        <v>0</v>
      </c>
      <c r="D30" s="52" t="s">
        <v>164</v>
      </c>
      <c r="E30" s="52" t="s">
        <v>37</v>
      </c>
      <c r="F30" s="52" t="s">
        <v>38</v>
      </c>
      <c r="G30" s="52" t="s">
        <v>11</v>
      </c>
      <c r="H30" s="52" t="s">
        <v>39</v>
      </c>
      <c r="I30" s="52" t="s">
        <v>47</v>
      </c>
      <c r="J30" s="52">
        <v>2.7787915307366071</v>
      </c>
      <c r="K30" s="52" t="s">
        <v>160</v>
      </c>
      <c r="L30" s="52" t="s">
        <v>160</v>
      </c>
      <c r="M30" s="52">
        <v>28.133256908155438</v>
      </c>
      <c r="N30" s="52">
        <v>0.95545380632187182</v>
      </c>
      <c r="O30" s="52">
        <v>28.133256908155438</v>
      </c>
      <c r="P30" s="52" t="s">
        <v>160</v>
      </c>
      <c r="Q30" s="52" t="b">
        <v>0</v>
      </c>
      <c r="R30" s="52">
        <v>74142.899999999994</v>
      </c>
      <c r="S30" s="52" t="b">
        <v>1</v>
      </c>
      <c r="T30" s="52">
        <v>3</v>
      </c>
      <c r="U30" s="52">
        <v>19</v>
      </c>
    </row>
    <row r="31" spans="1:21" x14ac:dyDescent="0.25">
      <c r="A31" s="52">
        <v>5</v>
      </c>
      <c r="B31" s="52" t="s">
        <v>67</v>
      </c>
      <c r="C31" s="52" t="b">
        <v>0</v>
      </c>
      <c r="D31" s="52" t="s">
        <v>164</v>
      </c>
      <c r="E31" s="52" t="s">
        <v>42</v>
      </c>
      <c r="F31" s="52" t="s">
        <v>38</v>
      </c>
      <c r="G31" s="52" t="s">
        <v>13</v>
      </c>
      <c r="H31" s="52" t="s">
        <v>39</v>
      </c>
      <c r="I31" s="52" t="s">
        <v>47</v>
      </c>
      <c r="J31" s="52">
        <v>2.724136387527194</v>
      </c>
      <c r="K31" s="52" t="s">
        <v>160</v>
      </c>
      <c r="L31" s="52" t="s">
        <v>160</v>
      </c>
      <c r="M31" s="52">
        <v>31.208038309003868</v>
      </c>
      <c r="N31" s="52">
        <v>0.93521968946300038</v>
      </c>
      <c r="O31" s="52">
        <v>31.208038309003868</v>
      </c>
      <c r="P31" s="52" t="s">
        <v>160</v>
      </c>
      <c r="Q31" s="52" t="b">
        <v>0</v>
      </c>
      <c r="R31" s="52">
        <v>46910.862999999998</v>
      </c>
      <c r="S31" s="52" t="b">
        <v>1</v>
      </c>
      <c r="T31" s="52">
        <v>3</v>
      </c>
      <c r="U31" s="52">
        <v>25</v>
      </c>
    </row>
    <row r="32" spans="1:21" x14ac:dyDescent="0.25">
      <c r="A32" s="52">
        <v>5</v>
      </c>
      <c r="B32" s="52" t="s">
        <v>67</v>
      </c>
      <c r="C32" s="52" t="b">
        <v>0</v>
      </c>
      <c r="D32" s="52" t="s">
        <v>164</v>
      </c>
      <c r="E32" s="52" t="s">
        <v>43</v>
      </c>
      <c r="F32" s="52" t="s">
        <v>38</v>
      </c>
      <c r="G32" s="52" t="s">
        <v>12</v>
      </c>
      <c r="H32" s="52" t="s">
        <v>39</v>
      </c>
      <c r="I32" s="52" t="s">
        <v>139</v>
      </c>
      <c r="J32" s="52">
        <v>0</v>
      </c>
      <c r="K32" s="52" t="s">
        <v>160</v>
      </c>
      <c r="L32" s="52" t="s">
        <v>160</v>
      </c>
      <c r="M32" s="52" t="s">
        <v>41</v>
      </c>
      <c r="N32" s="52">
        <v>0</v>
      </c>
      <c r="O32" s="52" t="s">
        <v>160</v>
      </c>
      <c r="P32" s="52" t="s">
        <v>160</v>
      </c>
      <c r="Q32" s="52" t="b">
        <v>0</v>
      </c>
      <c r="R32" s="52">
        <v>69932.437000000005</v>
      </c>
      <c r="S32" s="52" t="b">
        <v>1</v>
      </c>
      <c r="T32" s="52">
        <v>3</v>
      </c>
      <c r="U32" s="52">
        <v>49</v>
      </c>
    </row>
    <row r="33" spans="1:21" x14ac:dyDescent="0.25">
      <c r="A33" s="52">
        <v>5</v>
      </c>
      <c r="B33" s="52" t="s">
        <v>67</v>
      </c>
      <c r="C33" s="52" t="b">
        <v>0</v>
      </c>
      <c r="D33" s="52" t="s">
        <v>164</v>
      </c>
      <c r="E33" s="52" t="s">
        <v>44</v>
      </c>
      <c r="F33" s="52" t="s">
        <v>38</v>
      </c>
      <c r="G33" s="52" t="s">
        <v>14</v>
      </c>
      <c r="H33" s="52" t="s">
        <v>39</v>
      </c>
      <c r="I33" s="52" t="s">
        <v>47</v>
      </c>
      <c r="J33" s="52">
        <v>2.6551610194837929</v>
      </c>
      <c r="K33" s="52" t="s">
        <v>160</v>
      </c>
      <c r="L33" s="52" t="s">
        <v>160</v>
      </c>
      <c r="M33" s="52">
        <v>27.051461964819342</v>
      </c>
      <c r="N33" s="52">
        <v>0.91877234928859131</v>
      </c>
      <c r="O33" s="52">
        <v>27.051461964819342</v>
      </c>
      <c r="P33" s="52" t="s">
        <v>160</v>
      </c>
      <c r="Q33" s="52" t="b">
        <v>0</v>
      </c>
      <c r="R33" s="52">
        <v>47660.913</v>
      </c>
      <c r="S33" s="52" t="b">
        <v>1</v>
      </c>
      <c r="T33" s="52">
        <v>3</v>
      </c>
      <c r="U33" s="52">
        <v>19</v>
      </c>
    </row>
    <row r="34" spans="1:21" x14ac:dyDescent="0.25">
      <c r="A34" s="52">
        <v>5</v>
      </c>
      <c r="B34" s="52" t="s">
        <v>67</v>
      </c>
      <c r="C34" s="52" t="b">
        <v>0</v>
      </c>
      <c r="D34" s="52" t="s">
        <v>164</v>
      </c>
      <c r="E34" s="52" t="s">
        <v>45</v>
      </c>
      <c r="F34" s="52" t="s">
        <v>38</v>
      </c>
      <c r="G34" s="52" t="s">
        <v>10</v>
      </c>
      <c r="H34" s="52" t="s">
        <v>39</v>
      </c>
      <c r="I34" s="52" t="s">
        <v>139</v>
      </c>
      <c r="J34" s="52">
        <v>0</v>
      </c>
      <c r="K34" s="52" t="s">
        <v>160</v>
      </c>
      <c r="L34" s="52" t="s">
        <v>160</v>
      </c>
      <c r="M34" s="52" t="s">
        <v>41</v>
      </c>
      <c r="N34" s="52">
        <v>0</v>
      </c>
      <c r="O34" s="52" t="s">
        <v>160</v>
      </c>
      <c r="P34" s="52" t="s">
        <v>160</v>
      </c>
      <c r="Q34" s="52" t="b">
        <v>0</v>
      </c>
      <c r="R34" s="52">
        <v>161088.065</v>
      </c>
      <c r="S34" s="52" t="b">
        <v>1</v>
      </c>
      <c r="T34" s="52">
        <v>3</v>
      </c>
      <c r="U34" s="52">
        <v>49</v>
      </c>
    </row>
    <row r="35" spans="1:21" x14ac:dyDescent="0.25">
      <c r="A35" s="52">
        <v>6</v>
      </c>
      <c r="B35" s="52" t="s">
        <v>211</v>
      </c>
      <c r="C35" s="52" t="b">
        <v>0</v>
      </c>
      <c r="D35" s="52" t="s">
        <v>190</v>
      </c>
      <c r="E35" s="52" t="s">
        <v>37</v>
      </c>
      <c r="F35" s="52" t="s">
        <v>38</v>
      </c>
      <c r="G35" s="52" t="s">
        <v>11</v>
      </c>
      <c r="H35" s="52" t="s">
        <v>39</v>
      </c>
      <c r="I35" s="52" t="s">
        <v>47</v>
      </c>
      <c r="J35" s="52">
        <v>2.3281551321285403</v>
      </c>
      <c r="K35" s="52" t="s">
        <v>160</v>
      </c>
      <c r="L35" s="52" t="s">
        <v>160</v>
      </c>
      <c r="M35" s="52">
        <v>38.616128472836067</v>
      </c>
      <c r="N35" s="52">
        <v>0.65959008270155262</v>
      </c>
      <c r="O35" s="52">
        <v>38.616128472836067</v>
      </c>
      <c r="P35" s="52" t="s">
        <v>160</v>
      </c>
      <c r="Q35" s="52" t="b">
        <v>0</v>
      </c>
      <c r="R35" s="52">
        <v>74142.899999999994</v>
      </c>
      <c r="S35" s="52" t="b">
        <v>1</v>
      </c>
      <c r="T35" s="52">
        <v>3</v>
      </c>
      <c r="U35" s="52">
        <v>23</v>
      </c>
    </row>
    <row r="36" spans="1:21" x14ac:dyDescent="0.25">
      <c r="A36" s="52">
        <v>6</v>
      </c>
      <c r="B36" s="52" t="s">
        <v>211</v>
      </c>
      <c r="C36" s="52" t="b">
        <v>0</v>
      </c>
      <c r="D36" s="52" t="s">
        <v>190</v>
      </c>
      <c r="E36" s="52" t="s">
        <v>42</v>
      </c>
      <c r="F36" s="52" t="s">
        <v>38</v>
      </c>
      <c r="G36" s="52" t="s">
        <v>13</v>
      </c>
      <c r="H36" s="52" t="s">
        <v>39</v>
      </c>
      <c r="I36" s="52" t="s">
        <v>47</v>
      </c>
      <c r="J36" s="52">
        <v>2.3491269570678379</v>
      </c>
      <c r="K36" s="52" t="s">
        <v>160</v>
      </c>
      <c r="L36" s="52" t="s">
        <v>160</v>
      </c>
      <c r="M36" s="52">
        <v>36.90833559216204</v>
      </c>
      <c r="N36" s="52">
        <v>0.67747465019353259</v>
      </c>
      <c r="O36" s="52">
        <v>36.90833559216204</v>
      </c>
      <c r="P36" s="52" t="s">
        <v>160</v>
      </c>
      <c r="Q36" s="52" t="b">
        <v>0</v>
      </c>
      <c r="R36" s="52">
        <v>46910.862999999998</v>
      </c>
      <c r="S36" s="52" t="b">
        <v>1</v>
      </c>
      <c r="T36" s="52">
        <v>3</v>
      </c>
      <c r="U36" s="52">
        <v>28</v>
      </c>
    </row>
    <row r="37" spans="1:21" x14ac:dyDescent="0.25">
      <c r="A37" s="52">
        <v>6</v>
      </c>
      <c r="B37" s="52" t="s">
        <v>211</v>
      </c>
      <c r="C37" s="52" t="b">
        <v>0</v>
      </c>
      <c r="D37" s="52" t="s">
        <v>190</v>
      </c>
      <c r="E37" s="52" t="s">
        <v>43</v>
      </c>
      <c r="F37" s="52" t="s">
        <v>38</v>
      </c>
      <c r="G37" s="52" t="s">
        <v>12</v>
      </c>
      <c r="H37" s="52" t="s">
        <v>39</v>
      </c>
      <c r="I37" s="52" t="s">
        <v>139</v>
      </c>
      <c r="J37" s="52">
        <v>0</v>
      </c>
      <c r="K37" s="52" t="s">
        <v>160</v>
      </c>
      <c r="L37" s="52" t="s">
        <v>160</v>
      </c>
      <c r="M37" s="52" t="s">
        <v>41</v>
      </c>
      <c r="N37" s="52">
        <v>0</v>
      </c>
      <c r="O37" s="52" t="s">
        <v>160</v>
      </c>
      <c r="P37" s="52" t="s">
        <v>160</v>
      </c>
      <c r="Q37" s="52" t="b">
        <v>0</v>
      </c>
      <c r="R37" s="52">
        <v>69932.437000000005</v>
      </c>
      <c r="S37" s="52" t="b">
        <v>1</v>
      </c>
      <c r="T37" s="52">
        <v>3</v>
      </c>
      <c r="U37" s="52">
        <v>49</v>
      </c>
    </row>
    <row r="38" spans="1:21" x14ac:dyDescent="0.25">
      <c r="A38" s="52">
        <v>6</v>
      </c>
      <c r="B38" s="52" t="s">
        <v>211</v>
      </c>
      <c r="C38" s="52" t="b">
        <v>0</v>
      </c>
      <c r="D38" s="52" t="s">
        <v>190</v>
      </c>
      <c r="E38" s="52" t="s">
        <v>44</v>
      </c>
      <c r="F38" s="52" t="s">
        <v>38</v>
      </c>
      <c r="G38" s="52" t="s">
        <v>14</v>
      </c>
      <c r="H38" s="52" t="s">
        <v>39</v>
      </c>
      <c r="I38" s="52" t="s">
        <v>47</v>
      </c>
      <c r="J38" s="52">
        <v>2.6486268604741778</v>
      </c>
      <c r="K38" s="52" t="s">
        <v>160</v>
      </c>
      <c r="L38" s="52" t="s">
        <v>160</v>
      </c>
      <c r="M38" s="52">
        <v>23.089840082098874</v>
      </c>
      <c r="N38" s="52">
        <v>0.95373459035453056</v>
      </c>
      <c r="O38" s="52">
        <v>23.089840082098874</v>
      </c>
      <c r="P38" s="52" t="s">
        <v>160</v>
      </c>
      <c r="Q38" s="52" t="b">
        <v>0</v>
      </c>
      <c r="R38" s="52">
        <v>47660.913</v>
      </c>
      <c r="S38" s="52" t="b">
        <v>1</v>
      </c>
      <c r="T38" s="52">
        <v>3</v>
      </c>
      <c r="U38" s="52">
        <v>13</v>
      </c>
    </row>
    <row r="39" spans="1:21" x14ac:dyDescent="0.25">
      <c r="A39" s="52">
        <v>6</v>
      </c>
      <c r="B39" s="52" t="s">
        <v>211</v>
      </c>
      <c r="C39" s="52" t="b">
        <v>0</v>
      </c>
      <c r="D39" s="52" t="s">
        <v>190</v>
      </c>
      <c r="E39" s="52" t="s">
        <v>45</v>
      </c>
      <c r="F39" s="52" t="s">
        <v>38</v>
      </c>
      <c r="G39" s="52" t="s">
        <v>10</v>
      </c>
      <c r="H39" s="52" t="s">
        <v>39</v>
      </c>
      <c r="I39" s="52" t="s">
        <v>40</v>
      </c>
      <c r="J39" s="52">
        <v>0</v>
      </c>
      <c r="K39" s="52" t="s">
        <v>160</v>
      </c>
      <c r="L39" s="52" t="s">
        <v>160</v>
      </c>
      <c r="M39" s="52" t="s">
        <v>41</v>
      </c>
      <c r="N39" s="52">
        <v>0</v>
      </c>
      <c r="O39" s="52" t="s">
        <v>160</v>
      </c>
      <c r="P39" s="52" t="s">
        <v>160</v>
      </c>
      <c r="Q39" s="52" t="b">
        <v>0</v>
      </c>
      <c r="R39" s="52">
        <v>161088.065</v>
      </c>
      <c r="S39" s="52" t="b">
        <v>1</v>
      </c>
      <c r="T39" s="52">
        <v>3</v>
      </c>
      <c r="U39" s="52">
        <v>49</v>
      </c>
    </row>
    <row r="40" spans="1:21" x14ac:dyDescent="0.25">
      <c r="A40" s="52">
        <v>7</v>
      </c>
      <c r="B40" s="52" t="s">
        <v>212</v>
      </c>
      <c r="C40" s="52" t="b">
        <v>0</v>
      </c>
      <c r="D40" s="52" t="s">
        <v>191</v>
      </c>
      <c r="E40" s="52" t="s">
        <v>37</v>
      </c>
      <c r="F40" s="52" t="s">
        <v>38</v>
      </c>
      <c r="G40" s="52" t="s">
        <v>11</v>
      </c>
      <c r="H40" s="52" t="s">
        <v>39</v>
      </c>
      <c r="I40" s="52" t="s">
        <v>47</v>
      </c>
      <c r="J40" s="52">
        <v>2.3740157197486043</v>
      </c>
      <c r="K40" s="52" t="s">
        <v>160</v>
      </c>
      <c r="L40" s="52" t="s">
        <v>160</v>
      </c>
      <c r="M40" s="52">
        <v>38.389232975705241</v>
      </c>
      <c r="N40" s="52">
        <v>0.80027979487673118</v>
      </c>
      <c r="O40" s="52">
        <v>38.389232975705241</v>
      </c>
      <c r="P40" s="52" t="s">
        <v>160</v>
      </c>
      <c r="Q40" s="52" t="b">
        <v>0</v>
      </c>
      <c r="R40" s="52">
        <v>74142.899999999994</v>
      </c>
      <c r="S40" s="52" t="b">
        <v>1</v>
      </c>
      <c r="T40" s="52">
        <v>3</v>
      </c>
      <c r="U40" s="52">
        <v>24</v>
      </c>
    </row>
    <row r="41" spans="1:21" x14ac:dyDescent="0.25">
      <c r="A41" s="52">
        <v>7</v>
      </c>
      <c r="B41" s="52" t="s">
        <v>212</v>
      </c>
      <c r="C41" s="52" t="b">
        <v>0</v>
      </c>
      <c r="D41" s="52" t="s">
        <v>191</v>
      </c>
      <c r="E41" s="52" t="s">
        <v>42</v>
      </c>
      <c r="F41" s="52" t="s">
        <v>38</v>
      </c>
      <c r="G41" s="52" t="s">
        <v>13</v>
      </c>
      <c r="H41" s="52" t="s">
        <v>39</v>
      </c>
      <c r="I41" s="52" t="s">
        <v>47</v>
      </c>
      <c r="J41" s="52">
        <v>2.2910636543173437</v>
      </c>
      <c r="K41" s="52" t="s">
        <v>160</v>
      </c>
      <c r="L41" s="52" t="s">
        <v>160</v>
      </c>
      <c r="M41" s="52">
        <v>40.160181418113879</v>
      </c>
      <c r="N41" s="52">
        <v>0.63216151344036708</v>
      </c>
      <c r="O41" s="52">
        <v>40.160181418113879</v>
      </c>
      <c r="P41" s="52" t="s">
        <v>160</v>
      </c>
      <c r="Q41" s="52" t="b">
        <v>0</v>
      </c>
      <c r="R41" s="52">
        <v>46910.862999999998</v>
      </c>
      <c r="S41" s="52" t="b">
        <v>1</v>
      </c>
      <c r="T41" s="52">
        <v>3</v>
      </c>
      <c r="U41" s="52">
        <v>32</v>
      </c>
    </row>
    <row r="42" spans="1:21" x14ac:dyDescent="0.25">
      <c r="A42" s="52">
        <v>7</v>
      </c>
      <c r="B42" s="52" t="s">
        <v>212</v>
      </c>
      <c r="C42" s="52" t="b">
        <v>0</v>
      </c>
      <c r="D42" s="52" t="s">
        <v>191</v>
      </c>
      <c r="E42" s="52" t="s">
        <v>43</v>
      </c>
      <c r="F42" s="52" t="s">
        <v>38</v>
      </c>
      <c r="G42" s="52" t="s">
        <v>12</v>
      </c>
      <c r="H42" s="52" t="s">
        <v>39</v>
      </c>
      <c r="I42" s="52" t="s">
        <v>139</v>
      </c>
      <c r="J42" s="52">
        <v>0</v>
      </c>
      <c r="K42" s="52" t="s">
        <v>160</v>
      </c>
      <c r="L42" s="52" t="s">
        <v>160</v>
      </c>
      <c r="M42" s="52" t="s">
        <v>41</v>
      </c>
      <c r="N42" s="52">
        <v>0</v>
      </c>
      <c r="O42" s="52" t="s">
        <v>160</v>
      </c>
      <c r="P42" s="52" t="s">
        <v>160</v>
      </c>
      <c r="Q42" s="52" t="b">
        <v>0</v>
      </c>
      <c r="R42" s="52">
        <v>69932.437000000005</v>
      </c>
      <c r="S42" s="52" t="b">
        <v>1</v>
      </c>
      <c r="T42" s="52">
        <v>3</v>
      </c>
      <c r="U42" s="52">
        <v>49</v>
      </c>
    </row>
    <row r="43" spans="1:21" x14ac:dyDescent="0.25">
      <c r="A43" s="52">
        <v>7</v>
      </c>
      <c r="B43" s="52" t="s">
        <v>212</v>
      </c>
      <c r="C43" s="52" t="b">
        <v>0</v>
      </c>
      <c r="D43" s="52" t="s">
        <v>191</v>
      </c>
      <c r="E43" s="52" t="s">
        <v>44</v>
      </c>
      <c r="F43" s="52" t="s">
        <v>38</v>
      </c>
      <c r="G43" s="52" t="s">
        <v>14</v>
      </c>
      <c r="H43" s="52" t="s">
        <v>39</v>
      </c>
      <c r="I43" s="52" t="s">
        <v>47</v>
      </c>
      <c r="J43" s="52">
        <v>2.6646331689421148</v>
      </c>
      <c r="K43" s="52" t="s">
        <v>160</v>
      </c>
      <c r="L43" s="52" t="s">
        <v>160</v>
      </c>
      <c r="M43" s="52">
        <v>25.27591664170793</v>
      </c>
      <c r="N43" s="52">
        <v>0.94866343292653321</v>
      </c>
      <c r="O43" s="52">
        <v>25.27591664170793</v>
      </c>
      <c r="P43" s="52" t="s">
        <v>160</v>
      </c>
      <c r="Q43" s="52" t="b">
        <v>0</v>
      </c>
      <c r="R43" s="52">
        <v>47660.913</v>
      </c>
      <c r="S43" s="52" t="b">
        <v>1</v>
      </c>
      <c r="T43" s="52">
        <v>3</v>
      </c>
      <c r="U43" s="52">
        <v>16</v>
      </c>
    </row>
    <row r="44" spans="1:21" x14ac:dyDescent="0.25">
      <c r="A44" s="52">
        <v>7</v>
      </c>
      <c r="B44" s="52" t="s">
        <v>212</v>
      </c>
      <c r="C44" s="52" t="b">
        <v>0</v>
      </c>
      <c r="D44" s="52" t="s">
        <v>191</v>
      </c>
      <c r="E44" s="52" t="s">
        <v>45</v>
      </c>
      <c r="F44" s="52" t="s">
        <v>38</v>
      </c>
      <c r="G44" s="52" t="s">
        <v>10</v>
      </c>
      <c r="H44" s="52" t="s">
        <v>39</v>
      </c>
      <c r="I44" s="52" t="s">
        <v>40</v>
      </c>
      <c r="J44" s="52">
        <v>0</v>
      </c>
      <c r="K44" s="52" t="s">
        <v>160</v>
      </c>
      <c r="L44" s="52" t="s">
        <v>160</v>
      </c>
      <c r="M44" s="52" t="s">
        <v>41</v>
      </c>
      <c r="N44" s="52">
        <v>0</v>
      </c>
      <c r="O44" s="52" t="s">
        <v>160</v>
      </c>
      <c r="P44" s="52" t="s">
        <v>160</v>
      </c>
      <c r="Q44" s="52" t="b">
        <v>0</v>
      </c>
      <c r="R44" s="52">
        <v>161088.065</v>
      </c>
      <c r="S44" s="52" t="b">
        <v>1</v>
      </c>
      <c r="T44" s="52">
        <v>3</v>
      </c>
      <c r="U44" s="52">
        <v>49</v>
      </c>
    </row>
    <row r="45" spans="1:21" x14ac:dyDescent="0.25">
      <c r="A45" s="52">
        <v>8</v>
      </c>
      <c r="B45" s="52" t="s">
        <v>213</v>
      </c>
      <c r="C45" s="52" t="b">
        <v>0</v>
      </c>
      <c r="D45" s="52" t="s">
        <v>192</v>
      </c>
      <c r="E45" s="52" t="s">
        <v>37</v>
      </c>
      <c r="F45" s="52" t="s">
        <v>38</v>
      </c>
      <c r="G45" s="52" t="s">
        <v>11</v>
      </c>
      <c r="H45" s="52" t="s">
        <v>39</v>
      </c>
      <c r="I45" s="52" t="s">
        <v>47</v>
      </c>
      <c r="J45" s="52">
        <v>2.6675812098834681</v>
      </c>
      <c r="K45" s="52" t="s">
        <v>160</v>
      </c>
      <c r="L45" s="52" t="s">
        <v>160</v>
      </c>
      <c r="M45" s="52">
        <v>32.119946833861093</v>
      </c>
      <c r="N45" s="52">
        <v>0.9448983123205329</v>
      </c>
      <c r="O45" s="52">
        <v>32.119946833861093</v>
      </c>
      <c r="P45" s="52" t="s">
        <v>160</v>
      </c>
      <c r="Q45" s="52" t="b">
        <v>0</v>
      </c>
      <c r="R45" s="52">
        <v>74142.899999999994</v>
      </c>
      <c r="S45" s="52" t="b">
        <v>1</v>
      </c>
      <c r="T45" s="52">
        <v>3</v>
      </c>
      <c r="U45" s="52">
        <v>21</v>
      </c>
    </row>
    <row r="46" spans="1:21" x14ac:dyDescent="0.25">
      <c r="A46" s="52">
        <v>8</v>
      </c>
      <c r="B46" s="52" t="s">
        <v>213</v>
      </c>
      <c r="C46" s="52" t="b">
        <v>0</v>
      </c>
      <c r="D46" s="52" t="s">
        <v>192</v>
      </c>
      <c r="E46" s="52" t="s">
        <v>42</v>
      </c>
      <c r="F46" s="52" t="s">
        <v>38</v>
      </c>
      <c r="G46" s="52" t="s">
        <v>13</v>
      </c>
      <c r="H46" s="52" t="s">
        <v>39</v>
      </c>
      <c r="I46" s="52" t="s">
        <v>47</v>
      </c>
      <c r="J46" s="52">
        <v>2.6315225100838924</v>
      </c>
      <c r="K46" s="52" t="s">
        <v>160</v>
      </c>
      <c r="L46" s="52" t="s">
        <v>160</v>
      </c>
      <c r="M46" s="52">
        <v>33.282399336496795</v>
      </c>
      <c r="N46" s="52">
        <v>0.92693865340548576</v>
      </c>
      <c r="O46" s="52">
        <v>33.282399336496795</v>
      </c>
      <c r="P46" s="52" t="s">
        <v>160</v>
      </c>
      <c r="Q46" s="52" t="b">
        <v>0</v>
      </c>
      <c r="R46" s="52">
        <v>46910.862999999998</v>
      </c>
      <c r="S46" s="52" t="b">
        <v>1</v>
      </c>
      <c r="T46" s="52">
        <v>3</v>
      </c>
      <c r="U46" s="52">
        <v>25</v>
      </c>
    </row>
    <row r="47" spans="1:21" x14ac:dyDescent="0.25">
      <c r="A47" s="52">
        <v>8</v>
      </c>
      <c r="B47" s="52" t="s">
        <v>213</v>
      </c>
      <c r="C47" s="52" t="b">
        <v>0</v>
      </c>
      <c r="D47" s="52" t="s">
        <v>192</v>
      </c>
      <c r="E47" s="52" t="s">
        <v>43</v>
      </c>
      <c r="F47" s="52" t="s">
        <v>38</v>
      </c>
      <c r="G47" s="52" t="s">
        <v>12</v>
      </c>
      <c r="H47" s="52" t="s">
        <v>39</v>
      </c>
      <c r="I47" s="52" t="s">
        <v>40</v>
      </c>
      <c r="J47" s="52">
        <v>0</v>
      </c>
      <c r="K47" s="52" t="s">
        <v>160</v>
      </c>
      <c r="L47" s="52" t="s">
        <v>160</v>
      </c>
      <c r="M47" s="52" t="s">
        <v>41</v>
      </c>
      <c r="N47" s="52">
        <v>0</v>
      </c>
      <c r="O47" s="52" t="s">
        <v>160</v>
      </c>
      <c r="P47" s="52" t="s">
        <v>160</v>
      </c>
      <c r="Q47" s="52" t="b">
        <v>0</v>
      </c>
      <c r="R47" s="52">
        <v>69932.437000000005</v>
      </c>
      <c r="S47" s="52" t="b">
        <v>1</v>
      </c>
      <c r="T47" s="52">
        <v>3</v>
      </c>
      <c r="U47" s="52">
        <v>49</v>
      </c>
    </row>
    <row r="48" spans="1:21" x14ac:dyDescent="0.25">
      <c r="A48" s="52">
        <v>8</v>
      </c>
      <c r="B48" s="52" t="s">
        <v>213</v>
      </c>
      <c r="C48" s="52" t="b">
        <v>0</v>
      </c>
      <c r="D48" s="52" t="s">
        <v>192</v>
      </c>
      <c r="E48" s="52" t="s">
        <v>44</v>
      </c>
      <c r="F48" s="52" t="s">
        <v>38</v>
      </c>
      <c r="G48" s="52" t="s">
        <v>14</v>
      </c>
      <c r="H48" s="52" t="s">
        <v>39</v>
      </c>
      <c r="I48" s="52" t="s">
        <v>47</v>
      </c>
      <c r="J48" s="52">
        <v>2.6439083152822631</v>
      </c>
      <c r="K48" s="52" t="s">
        <v>160</v>
      </c>
      <c r="L48" s="52" t="s">
        <v>160</v>
      </c>
      <c r="M48" s="52">
        <v>25.029158026336127</v>
      </c>
      <c r="N48" s="52">
        <v>0.94082050744471346</v>
      </c>
      <c r="O48" s="52">
        <v>25.029158026336127</v>
      </c>
      <c r="P48" s="52" t="s">
        <v>160</v>
      </c>
      <c r="Q48" s="52" t="b">
        <v>0</v>
      </c>
      <c r="R48" s="52">
        <v>47660.913</v>
      </c>
      <c r="S48" s="52" t="b">
        <v>1</v>
      </c>
      <c r="T48" s="52">
        <v>3</v>
      </c>
      <c r="U48" s="52">
        <v>16</v>
      </c>
    </row>
    <row r="49" spans="1:21" x14ac:dyDescent="0.25">
      <c r="A49" s="52">
        <v>8</v>
      </c>
      <c r="B49" s="52" t="s">
        <v>213</v>
      </c>
      <c r="C49" s="52" t="b">
        <v>0</v>
      </c>
      <c r="D49" s="52" t="s">
        <v>192</v>
      </c>
      <c r="E49" s="52" t="s">
        <v>45</v>
      </c>
      <c r="F49" s="52" t="s">
        <v>38</v>
      </c>
      <c r="G49" s="52" t="s">
        <v>10</v>
      </c>
      <c r="H49" s="52" t="s">
        <v>39</v>
      </c>
      <c r="I49" s="52" t="s">
        <v>40</v>
      </c>
      <c r="J49" s="52">
        <v>0</v>
      </c>
      <c r="K49" s="52" t="s">
        <v>160</v>
      </c>
      <c r="L49" s="52" t="s">
        <v>160</v>
      </c>
      <c r="M49" s="52" t="s">
        <v>41</v>
      </c>
      <c r="N49" s="52">
        <v>0</v>
      </c>
      <c r="O49" s="52" t="s">
        <v>160</v>
      </c>
      <c r="P49" s="52" t="s">
        <v>160</v>
      </c>
      <c r="Q49" s="52" t="b">
        <v>0</v>
      </c>
      <c r="R49" s="52">
        <v>161088.065</v>
      </c>
      <c r="S49" s="52" t="b">
        <v>1</v>
      </c>
      <c r="T49" s="52">
        <v>3</v>
      </c>
      <c r="U49" s="52">
        <v>49</v>
      </c>
    </row>
    <row r="50" spans="1:21" x14ac:dyDescent="0.25">
      <c r="A50" s="52">
        <v>9</v>
      </c>
      <c r="B50" s="52" t="s">
        <v>214</v>
      </c>
      <c r="C50" s="52" t="b">
        <v>0</v>
      </c>
      <c r="D50" s="52" t="s">
        <v>193</v>
      </c>
      <c r="E50" s="52" t="s">
        <v>37</v>
      </c>
      <c r="F50" s="52" t="s">
        <v>38</v>
      </c>
      <c r="G50" s="52" t="s">
        <v>11</v>
      </c>
      <c r="H50" s="52" t="s">
        <v>39</v>
      </c>
      <c r="I50" s="52" t="s">
        <v>47</v>
      </c>
      <c r="J50" s="52">
        <v>2.4222098504637954</v>
      </c>
      <c r="K50" s="52" t="s">
        <v>160</v>
      </c>
      <c r="L50" s="52" t="s">
        <v>160</v>
      </c>
      <c r="M50" s="52">
        <v>37.311378038886815</v>
      </c>
      <c r="N50" s="52">
        <v>0.60636079001946308</v>
      </c>
      <c r="O50" s="52">
        <v>37.311378038886815</v>
      </c>
      <c r="P50" s="52" t="s">
        <v>160</v>
      </c>
      <c r="Q50" s="52" t="b">
        <v>0</v>
      </c>
      <c r="R50" s="52">
        <v>74142.899999999994</v>
      </c>
      <c r="S50" s="52" t="b">
        <v>1</v>
      </c>
      <c r="T50" s="52">
        <v>3</v>
      </c>
      <c r="U50" s="52">
        <v>24</v>
      </c>
    </row>
    <row r="51" spans="1:21" x14ac:dyDescent="0.25">
      <c r="A51" s="52">
        <v>9</v>
      </c>
      <c r="B51" s="52" t="s">
        <v>214</v>
      </c>
      <c r="C51" s="52" t="b">
        <v>0</v>
      </c>
      <c r="D51" s="52" t="s">
        <v>193</v>
      </c>
      <c r="E51" s="52" t="s">
        <v>42</v>
      </c>
      <c r="F51" s="52" t="s">
        <v>38</v>
      </c>
      <c r="G51" s="52" t="s">
        <v>13</v>
      </c>
      <c r="H51" s="52" t="s">
        <v>39</v>
      </c>
      <c r="I51" s="52" t="s">
        <v>47</v>
      </c>
      <c r="J51" s="52">
        <v>2.4438752678661455</v>
      </c>
      <c r="K51" s="52" t="s">
        <v>160</v>
      </c>
      <c r="L51" s="52" t="s">
        <v>160</v>
      </c>
      <c r="M51" s="52">
        <v>35.82776607404228</v>
      </c>
      <c r="N51" s="52">
        <v>0.64889501698975471</v>
      </c>
      <c r="O51" s="52">
        <v>35.82776607404228</v>
      </c>
      <c r="P51" s="52" t="s">
        <v>160</v>
      </c>
      <c r="Q51" s="52" t="b">
        <v>0</v>
      </c>
      <c r="R51" s="52">
        <v>46910.862999999998</v>
      </c>
      <c r="S51" s="52" t="b">
        <v>1</v>
      </c>
      <c r="T51" s="52">
        <v>3</v>
      </c>
      <c r="U51" s="52">
        <v>24</v>
      </c>
    </row>
    <row r="52" spans="1:21" x14ac:dyDescent="0.25">
      <c r="A52" s="52">
        <v>9</v>
      </c>
      <c r="B52" s="52" t="s">
        <v>214</v>
      </c>
      <c r="C52" s="52" t="b">
        <v>0</v>
      </c>
      <c r="D52" s="52" t="s">
        <v>193</v>
      </c>
      <c r="E52" s="52" t="s">
        <v>43</v>
      </c>
      <c r="F52" s="52" t="s">
        <v>38</v>
      </c>
      <c r="G52" s="52" t="s">
        <v>12</v>
      </c>
      <c r="H52" s="52" t="s">
        <v>39</v>
      </c>
      <c r="I52" s="52" t="s">
        <v>40</v>
      </c>
      <c r="J52" s="52">
        <v>0</v>
      </c>
      <c r="K52" s="52" t="s">
        <v>160</v>
      </c>
      <c r="L52" s="52" t="s">
        <v>160</v>
      </c>
      <c r="M52" s="52" t="s">
        <v>41</v>
      </c>
      <c r="N52" s="52">
        <v>0</v>
      </c>
      <c r="O52" s="52" t="s">
        <v>160</v>
      </c>
      <c r="P52" s="52" t="s">
        <v>160</v>
      </c>
      <c r="Q52" s="52" t="b">
        <v>0</v>
      </c>
      <c r="R52" s="52">
        <v>69932.437000000005</v>
      </c>
      <c r="S52" s="52" t="b">
        <v>1</v>
      </c>
      <c r="T52" s="52">
        <v>3</v>
      </c>
      <c r="U52" s="52">
        <v>49</v>
      </c>
    </row>
    <row r="53" spans="1:21" x14ac:dyDescent="0.25">
      <c r="A53" s="52">
        <v>9</v>
      </c>
      <c r="B53" s="52" t="s">
        <v>214</v>
      </c>
      <c r="C53" s="52" t="b">
        <v>0</v>
      </c>
      <c r="D53" s="52" t="s">
        <v>193</v>
      </c>
      <c r="E53" s="52" t="s">
        <v>44</v>
      </c>
      <c r="F53" s="52" t="s">
        <v>38</v>
      </c>
      <c r="G53" s="52" t="s">
        <v>14</v>
      </c>
      <c r="H53" s="52" t="s">
        <v>39</v>
      </c>
      <c r="I53" s="52" t="s">
        <v>47</v>
      </c>
      <c r="J53" s="52">
        <v>2.6375811461149161</v>
      </c>
      <c r="K53" s="52" t="s">
        <v>160</v>
      </c>
      <c r="L53" s="52" t="s">
        <v>160</v>
      </c>
      <c r="M53" s="52">
        <v>24.559491273960894</v>
      </c>
      <c r="N53" s="52">
        <v>0.79486009819511949</v>
      </c>
      <c r="O53" s="52">
        <v>24.559491273960894</v>
      </c>
      <c r="P53" s="52" t="s">
        <v>160</v>
      </c>
      <c r="Q53" s="52" t="b">
        <v>0</v>
      </c>
      <c r="R53" s="52">
        <v>47660.913</v>
      </c>
      <c r="S53" s="52" t="b">
        <v>1</v>
      </c>
      <c r="T53" s="52">
        <v>3</v>
      </c>
      <c r="U53" s="52">
        <v>17</v>
      </c>
    </row>
    <row r="54" spans="1:21" x14ac:dyDescent="0.25">
      <c r="A54" s="52">
        <v>9</v>
      </c>
      <c r="B54" s="52" t="s">
        <v>214</v>
      </c>
      <c r="C54" s="52" t="b">
        <v>0</v>
      </c>
      <c r="D54" s="52" t="s">
        <v>193</v>
      </c>
      <c r="E54" s="52" t="s">
        <v>45</v>
      </c>
      <c r="F54" s="52" t="s">
        <v>38</v>
      </c>
      <c r="G54" s="52" t="s">
        <v>10</v>
      </c>
      <c r="H54" s="52" t="s">
        <v>39</v>
      </c>
      <c r="I54" s="52" t="s">
        <v>40</v>
      </c>
      <c r="J54" s="52">
        <v>0</v>
      </c>
      <c r="K54" s="52" t="s">
        <v>160</v>
      </c>
      <c r="L54" s="52" t="s">
        <v>160</v>
      </c>
      <c r="M54" s="52" t="s">
        <v>41</v>
      </c>
      <c r="N54" s="52">
        <v>0</v>
      </c>
      <c r="O54" s="52" t="s">
        <v>160</v>
      </c>
      <c r="P54" s="52" t="s">
        <v>160</v>
      </c>
      <c r="Q54" s="52" t="b">
        <v>0</v>
      </c>
      <c r="R54" s="52">
        <v>161088.065</v>
      </c>
      <c r="S54" s="52" t="b">
        <v>1</v>
      </c>
      <c r="T54" s="52">
        <v>3</v>
      </c>
      <c r="U54" s="52">
        <v>49</v>
      </c>
    </row>
    <row r="55" spans="1:21" x14ac:dyDescent="0.25">
      <c r="A55" s="52">
        <v>10</v>
      </c>
      <c r="B55" s="52" t="s">
        <v>215</v>
      </c>
      <c r="C55" s="52" t="b">
        <v>0</v>
      </c>
      <c r="D55" s="52" t="s">
        <v>194</v>
      </c>
      <c r="E55" s="52" t="s">
        <v>37</v>
      </c>
      <c r="F55" s="52" t="s">
        <v>38</v>
      </c>
      <c r="G55" s="52" t="s">
        <v>11</v>
      </c>
      <c r="H55" s="52" t="s">
        <v>39</v>
      </c>
      <c r="I55" s="52" t="s">
        <v>47</v>
      </c>
      <c r="J55" s="52">
        <v>2.7337740403772872</v>
      </c>
      <c r="K55" s="52" t="s">
        <v>160</v>
      </c>
      <c r="L55" s="52" t="s">
        <v>160</v>
      </c>
      <c r="M55" s="52">
        <v>29.241215725502357</v>
      </c>
      <c r="N55" s="52">
        <v>0.95226526932124445</v>
      </c>
      <c r="O55" s="52">
        <v>29.241215725502357</v>
      </c>
      <c r="P55" s="52" t="s">
        <v>160</v>
      </c>
      <c r="Q55" s="52" t="b">
        <v>0</v>
      </c>
      <c r="R55" s="52">
        <v>74142.899999999994</v>
      </c>
      <c r="S55" s="52" t="b">
        <v>1</v>
      </c>
      <c r="T55" s="52">
        <v>3</v>
      </c>
      <c r="U55" s="52">
        <v>22</v>
      </c>
    </row>
    <row r="56" spans="1:21" x14ac:dyDescent="0.25">
      <c r="A56" s="52">
        <v>10</v>
      </c>
      <c r="B56" s="52" t="s">
        <v>215</v>
      </c>
      <c r="C56" s="52" t="b">
        <v>0</v>
      </c>
      <c r="D56" s="52" t="s">
        <v>194</v>
      </c>
      <c r="E56" s="52" t="s">
        <v>42</v>
      </c>
      <c r="F56" s="52" t="s">
        <v>38</v>
      </c>
      <c r="G56" s="52" t="s">
        <v>13</v>
      </c>
      <c r="H56" s="52" t="s">
        <v>39</v>
      </c>
      <c r="I56" s="52" t="s">
        <v>47</v>
      </c>
      <c r="J56" s="52">
        <v>2.6939466224284225</v>
      </c>
      <c r="K56" s="52" t="s">
        <v>160</v>
      </c>
      <c r="L56" s="52" t="s">
        <v>160</v>
      </c>
      <c r="M56" s="52">
        <v>30.974218405618771</v>
      </c>
      <c r="N56" s="52">
        <v>0.90815153783208757</v>
      </c>
      <c r="O56" s="52">
        <v>30.974218405618771</v>
      </c>
      <c r="P56" s="52" t="s">
        <v>160</v>
      </c>
      <c r="Q56" s="52" t="b">
        <v>0</v>
      </c>
      <c r="R56" s="52">
        <v>46910.862999999998</v>
      </c>
      <c r="S56" s="52" t="b">
        <v>1</v>
      </c>
      <c r="T56" s="52">
        <v>3</v>
      </c>
      <c r="U56" s="52">
        <v>24</v>
      </c>
    </row>
    <row r="57" spans="1:21" x14ac:dyDescent="0.25">
      <c r="A57" s="52">
        <v>10</v>
      </c>
      <c r="B57" s="52" t="s">
        <v>215</v>
      </c>
      <c r="C57" s="52" t="b">
        <v>0</v>
      </c>
      <c r="D57" s="52" t="s">
        <v>194</v>
      </c>
      <c r="E57" s="52" t="s">
        <v>43</v>
      </c>
      <c r="F57" s="52" t="s">
        <v>38</v>
      </c>
      <c r="G57" s="52" t="s">
        <v>12</v>
      </c>
      <c r="H57" s="52" t="s">
        <v>39</v>
      </c>
      <c r="I57" s="52" t="s">
        <v>40</v>
      </c>
      <c r="J57" s="52">
        <v>0</v>
      </c>
      <c r="K57" s="52" t="s">
        <v>160</v>
      </c>
      <c r="L57" s="52" t="s">
        <v>160</v>
      </c>
      <c r="M57" s="52" t="s">
        <v>41</v>
      </c>
      <c r="N57" s="52">
        <v>0</v>
      </c>
      <c r="O57" s="52" t="s">
        <v>160</v>
      </c>
      <c r="P57" s="52" t="s">
        <v>160</v>
      </c>
      <c r="Q57" s="52" t="b">
        <v>0</v>
      </c>
      <c r="R57" s="52">
        <v>69932.437000000005</v>
      </c>
      <c r="S57" s="52" t="b">
        <v>1</v>
      </c>
      <c r="T57" s="52">
        <v>3</v>
      </c>
      <c r="U57" s="52">
        <v>49</v>
      </c>
    </row>
    <row r="58" spans="1:21" x14ac:dyDescent="0.25">
      <c r="A58" s="52">
        <v>10</v>
      </c>
      <c r="B58" s="52" t="s">
        <v>215</v>
      </c>
      <c r="C58" s="52" t="b">
        <v>0</v>
      </c>
      <c r="D58" s="52" t="s">
        <v>194</v>
      </c>
      <c r="E58" s="52" t="s">
        <v>44</v>
      </c>
      <c r="F58" s="52" t="s">
        <v>38</v>
      </c>
      <c r="G58" s="52" t="s">
        <v>14</v>
      </c>
      <c r="H58" s="52" t="s">
        <v>39</v>
      </c>
      <c r="I58" s="52" t="s">
        <v>47</v>
      </c>
      <c r="J58" s="52">
        <v>2.6213129857326565</v>
      </c>
      <c r="K58" s="52" t="s">
        <v>160</v>
      </c>
      <c r="L58" s="52" t="s">
        <v>160</v>
      </c>
      <c r="M58" s="52">
        <v>24.508035152002279</v>
      </c>
      <c r="N58" s="52">
        <v>0.89051771523468792</v>
      </c>
      <c r="O58" s="52">
        <v>24.508035152002279</v>
      </c>
      <c r="P58" s="52" t="s">
        <v>160</v>
      </c>
      <c r="Q58" s="52" t="b">
        <v>0</v>
      </c>
      <c r="R58" s="52">
        <v>47660.913</v>
      </c>
      <c r="S58" s="52" t="b">
        <v>1</v>
      </c>
      <c r="T58" s="52">
        <v>3</v>
      </c>
      <c r="U58" s="52">
        <v>16</v>
      </c>
    </row>
    <row r="59" spans="1:21" x14ac:dyDescent="0.25">
      <c r="A59" s="52">
        <v>10</v>
      </c>
      <c r="B59" s="52" t="s">
        <v>215</v>
      </c>
      <c r="C59" s="52" t="b">
        <v>0</v>
      </c>
      <c r="D59" s="52" t="s">
        <v>194</v>
      </c>
      <c r="E59" s="52" t="s">
        <v>45</v>
      </c>
      <c r="F59" s="52" t="s">
        <v>38</v>
      </c>
      <c r="G59" s="52" t="s">
        <v>10</v>
      </c>
      <c r="H59" s="52" t="s">
        <v>39</v>
      </c>
      <c r="I59" s="52" t="s">
        <v>40</v>
      </c>
      <c r="J59" s="52">
        <v>0</v>
      </c>
      <c r="K59" s="52" t="s">
        <v>160</v>
      </c>
      <c r="L59" s="52" t="s">
        <v>160</v>
      </c>
      <c r="M59" s="52" t="s">
        <v>41</v>
      </c>
      <c r="N59" s="52">
        <v>0</v>
      </c>
      <c r="O59" s="52" t="s">
        <v>160</v>
      </c>
      <c r="P59" s="52" t="s">
        <v>160</v>
      </c>
      <c r="Q59" s="52" t="b">
        <v>0</v>
      </c>
      <c r="R59" s="52">
        <v>161088.065</v>
      </c>
      <c r="S59" s="52" t="b">
        <v>1</v>
      </c>
      <c r="T59" s="52">
        <v>3</v>
      </c>
      <c r="U59" s="52">
        <v>49</v>
      </c>
    </row>
    <row r="60" spans="1:21" x14ac:dyDescent="0.25">
      <c r="A60" s="52">
        <v>12</v>
      </c>
      <c r="B60" s="52" t="s">
        <v>216</v>
      </c>
      <c r="C60" s="52" t="b">
        <v>0</v>
      </c>
      <c r="D60" s="52" t="s">
        <v>203</v>
      </c>
      <c r="E60" s="52" t="s">
        <v>37</v>
      </c>
      <c r="F60" s="52" t="s">
        <v>38</v>
      </c>
      <c r="G60" s="52" t="s">
        <v>11</v>
      </c>
      <c r="H60" s="52" t="s">
        <v>39</v>
      </c>
      <c r="I60" s="52" t="s">
        <v>40</v>
      </c>
      <c r="J60" s="52">
        <v>0</v>
      </c>
      <c r="K60" s="52" t="s">
        <v>160</v>
      </c>
      <c r="L60" s="52" t="s">
        <v>160</v>
      </c>
      <c r="M60" s="52" t="s">
        <v>41</v>
      </c>
      <c r="N60" s="52">
        <v>0</v>
      </c>
      <c r="O60" s="52" t="s">
        <v>160</v>
      </c>
      <c r="P60" s="52" t="s">
        <v>160</v>
      </c>
      <c r="Q60" s="52" t="b">
        <v>0</v>
      </c>
      <c r="R60" s="52">
        <v>74142.899999999994</v>
      </c>
      <c r="S60" s="52" t="b">
        <v>1</v>
      </c>
      <c r="T60" s="52">
        <v>3</v>
      </c>
      <c r="U60" s="52">
        <v>49</v>
      </c>
    </row>
    <row r="61" spans="1:21" x14ac:dyDescent="0.25">
      <c r="A61" s="52">
        <v>12</v>
      </c>
      <c r="B61" s="52" t="s">
        <v>216</v>
      </c>
      <c r="C61" s="52" t="b">
        <v>0</v>
      </c>
      <c r="D61" s="52" t="s">
        <v>203</v>
      </c>
      <c r="E61" s="52" t="s">
        <v>42</v>
      </c>
      <c r="F61" s="52" t="s">
        <v>38</v>
      </c>
      <c r="G61" s="52" t="s">
        <v>13</v>
      </c>
      <c r="H61" s="52" t="s">
        <v>39</v>
      </c>
      <c r="I61" s="52" t="s">
        <v>40</v>
      </c>
      <c r="J61" s="52">
        <v>2.0244114047075357</v>
      </c>
      <c r="K61" s="52" t="s">
        <v>160</v>
      </c>
      <c r="L61" s="52" t="s">
        <v>160</v>
      </c>
      <c r="M61" s="52" t="s">
        <v>41</v>
      </c>
      <c r="N61" s="52">
        <v>0</v>
      </c>
      <c r="O61" s="52" t="s">
        <v>160</v>
      </c>
      <c r="P61" s="52" t="s">
        <v>160</v>
      </c>
      <c r="Q61" s="52" t="b">
        <v>0</v>
      </c>
      <c r="R61" s="52">
        <v>46910.862999999998</v>
      </c>
      <c r="S61" s="52" t="b">
        <v>1</v>
      </c>
      <c r="T61" s="52">
        <v>3</v>
      </c>
      <c r="U61" s="52">
        <v>49</v>
      </c>
    </row>
    <row r="62" spans="1:21" x14ac:dyDescent="0.25">
      <c r="A62" s="52">
        <v>12</v>
      </c>
      <c r="B62" s="52" t="s">
        <v>216</v>
      </c>
      <c r="C62" s="52" t="b">
        <v>0</v>
      </c>
      <c r="D62" s="52" t="s">
        <v>203</v>
      </c>
      <c r="E62" s="52" t="s">
        <v>43</v>
      </c>
      <c r="F62" s="52" t="s">
        <v>38</v>
      </c>
      <c r="G62" s="52" t="s">
        <v>12</v>
      </c>
      <c r="H62" s="52" t="s">
        <v>39</v>
      </c>
      <c r="I62" s="52" t="s">
        <v>40</v>
      </c>
      <c r="J62" s="52">
        <v>0</v>
      </c>
      <c r="K62" s="52" t="s">
        <v>160</v>
      </c>
      <c r="L62" s="52" t="s">
        <v>160</v>
      </c>
      <c r="M62" s="52" t="s">
        <v>41</v>
      </c>
      <c r="N62" s="52">
        <v>0</v>
      </c>
      <c r="O62" s="52" t="s">
        <v>160</v>
      </c>
      <c r="P62" s="52" t="s">
        <v>160</v>
      </c>
      <c r="Q62" s="52" t="b">
        <v>0</v>
      </c>
      <c r="R62" s="52">
        <v>69932.437000000005</v>
      </c>
      <c r="S62" s="52" t="b">
        <v>1</v>
      </c>
      <c r="T62" s="52">
        <v>3</v>
      </c>
      <c r="U62" s="52">
        <v>49</v>
      </c>
    </row>
    <row r="63" spans="1:21" x14ac:dyDescent="0.25">
      <c r="A63" s="52">
        <v>12</v>
      </c>
      <c r="B63" s="52" t="s">
        <v>216</v>
      </c>
      <c r="C63" s="52" t="b">
        <v>0</v>
      </c>
      <c r="D63" s="52" t="s">
        <v>203</v>
      </c>
      <c r="E63" s="52" t="s">
        <v>44</v>
      </c>
      <c r="F63" s="52" t="s">
        <v>38</v>
      </c>
      <c r="G63" s="52" t="s">
        <v>14</v>
      </c>
      <c r="H63" s="52" t="s">
        <v>39</v>
      </c>
      <c r="I63" s="52" t="s">
        <v>40</v>
      </c>
      <c r="J63" s="52">
        <v>1.847248442991706</v>
      </c>
      <c r="K63" s="52" t="s">
        <v>160</v>
      </c>
      <c r="L63" s="52" t="s">
        <v>160</v>
      </c>
      <c r="M63" s="52" t="s">
        <v>41</v>
      </c>
      <c r="N63" s="52">
        <v>0</v>
      </c>
      <c r="O63" s="52" t="s">
        <v>160</v>
      </c>
      <c r="P63" s="52" t="s">
        <v>160</v>
      </c>
      <c r="Q63" s="52" t="b">
        <v>0</v>
      </c>
      <c r="R63" s="52">
        <v>47660.913</v>
      </c>
      <c r="S63" s="52" t="b">
        <v>1</v>
      </c>
      <c r="T63" s="52">
        <v>3</v>
      </c>
      <c r="U63" s="52">
        <v>49</v>
      </c>
    </row>
    <row r="64" spans="1:21" x14ac:dyDescent="0.25">
      <c r="A64" s="52">
        <v>12</v>
      </c>
      <c r="B64" s="52" t="s">
        <v>216</v>
      </c>
      <c r="C64" s="52" t="b">
        <v>0</v>
      </c>
      <c r="D64" s="52" t="s">
        <v>203</v>
      </c>
      <c r="E64" s="52" t="s">
        <v>45</v>
      </c>
      <c r="F64" s="52" t="s">
        <v>38</v>
      </c>
      <c r="G64" s="52" t="s">
        <v>10</v>
      </c>
      <c r="H64" s="52" t="s">
        <v>39</v>
      </c>
      <c r="I64" s="52" t="s">
        <v>139</v>
      </c>
      <c r="J64" s="52">
        <v>0</v>
      </c>
      <c r="K64" s="52" t="s">
        <v>160</v>
      </c>
      <c r="L64" s="52" t="s">
        <v>160</v>
      </c>
      <c r="M64" s="52" t="s">
        <v>41</v>
      </c>
      <c r="N64" s="52">
        <v>0</v>
      </c>
      <c r="O64" s="52" t="s">
        <v>160</v>
      </c>
      <c r="P64" s="52" t="s">
        <v>160</v>
      </c>
      <c r="Q64" s="52" t="b">
        <v>0</v>
      </c>
      <c r="R64" s="52">
        <v>161088.065</v>
      </c>
      <c r="S64" s="52" t="b">
        <v>1</v>
      </c>
      <c r="T64" s="52">
        <v>3</v>
      </c>
      <c r="U64" s="52">
        <v>49</v>
      </c>
    </row>
    <row r="65" spans="1:21" x14ac:dyDescent="0.25">
      <c r="A65" s="52">
        <v>13</v>
      </c>
      <c r="B65" s="52" t="s">
        <v>36</v>
      </c>
      <c r="C65" s="52" t="b">
        <v>0</v>
      </c>
      <c r="D65" s="52" t="s">
        <v>165</v>
      </c>
      <c r="E65" s="52" t="s">
        <v>37</v>
      </c>
      <c r="F65" s="52" t="s">
        <v>38</v>
      </c>
      <c r="G65" s="52" t="s">
        <v>11</v>
      </c>
      <c r="H65" s="52" t="s">
        <v>39</v>
      </c>
      <c r="I65" s="52" t="s">
        <v>47</v>
      </c>
      <c r="J65" s="52">
        <v>2.6913833060152617</v>
      </c>
      <c r="K65" s="52" t="s">
        <v>160</v>
      </c>
      <c r="L65" s="52" t="s">
        <v>160</v>
      </c>
      <c r="M65" s="52">
        <v>28.732130079335718</v>
      </c>
      <c r="N65" s="52">
        <v>0.95693971777597953</v>
      </c>
      <c r="O65" s="52">
        <v>28.732130079335718</v>
      </c>
      <c r="P65" s="52" t="s">
        <v>160</v>
      </c>
      <c r="Q65" s="52" t="b">
        <v>0</v>
      </c>
      <c r="R65" s="52">
        <v>74142.899999999994</v>
      </c>
      <c r="S65" s="52" t="b">
        <v>1</v>
      </c>
      <c r="T65" s="52">
        <v>3</v>
      </c>
      <c r="U65" s="52">
        <v>19</v>
      </c>
    </row>
    <row r="66" spans="1:21" x14ac:dyDescent="0.25">
      <c r="A66" s="52">
        <v>13</v>
      </c>
      <c r="B66" s="52" t="s">
        <v>36</v>
      </c>
      <c r="C66" s="52" t="b">
        <v>0</v>
      </c>
      <c r="D66" s="52" t="s">
        <v>165</v>
      </c>
      <c r="E66" s="52" t="s">
        <v>42</v>
      </c>
      <c r="F66" s="52" t="s">
        <v>38</v>
      </c>
      <c r="G66" s="52" t="s">
        <v>13</v>
      </c>
      <c r="H66" s="52" t="s">
        <v>39</v>
      </c>
      <c r="I66" s="52" t="s">
        <v>47</v>
      </c>
      <c r="J66" s="52">
        <v>2.653597942967274</v>
      </c>
      <c r="K66" s="52" t="s">
        <v>160</v>
      </c>
      <c r="L66" s="52" t="s">
        <v>160</v>
      </c>
      <c r="M66" s="52">
        <v>29.941560064547758</v>
      </c>
      <c r="N66" s="52">
        <v>0.92943254276017584</v>
      </c>
      <c r="O66" s="52">
        <v>29.941560064547758</v>
      </c>
      <c r="P66" s="52" t="s">
        <v>160</v>
      </c>
      <c r="Q66" s="52" t="b">
        <v>0</v>
      </c>
      <c r="R66" s="52">
        <v>46910.862999999998</v>
      </c>
      <c r="S66" s="52" t="b">
        <v>1</v>
      </c>
      <c r="T66" s="52">
        <v>3</v>
      </c>
      <c r="U66" s="52">
        <v>24</v>
      </c>
    </row>
    <row r="67" spans="1:21" x14ac:dyDescent="0.25">
      <c r="A67" s="52">
        <v>13</v>
      </c>
      <c r="B67" s="52" t="s">
        <v>36</v>
      </c>
      <c r="C67" s="52" t="b">
        <v>0</v>
      </c>
      <c r="D67" s="52" t="s">
        <v>165</v>
      </c>
      <c r="E67" s="52" t="s">
        <v>43</v>
      </c>
      <c r="F67" s="52" t="s">
        <v>38</v>
      </c>
      <c r="G67" s="52" t="s">
        <v>12</v>
      </c>
      <c r="H67" s="52" t="s">
        <v>39</v>
      </c>
      <c r="I67" s="52" t="s">
        <v>40</v>
      </c>
      <c r="J67" s="52">
        <v>0</v>
      </c>
      <c r="K67" s="52" t="s">
        <v>160</v>
      </c>
      <c r="L67" s="52" t="s">
        <v>160</v>
      </c>
      <c r="M67" s="52" t="s">
        <v>41</v>
      </c>
      <c r="N67" s="52">
        <v>0</v>
      </c>
      <c r="O67" s="52" t="s">
        <v>160</v>
      </c>
      <c r="P67" s="52" t="s">
        <v>160</v>
      </c>
      <c r="Q67" s="52" t="b">
        <v>0</v>
      </c>
      <c r="R67" s="52">
        <v>69932.437000000005</v>
      </c>
      <c r="S67" s="52" t="b">
        <v>1</v>
      </c>
      <c r="T67" s="52">
        <v>3</v>
      </c>
      <c r="U67" s="52">
        <v>49</v>
      </c>
    </row>
    <row r="68" spans="1:21" x14ac:dyDescent="0.25">
      <c r="A68" s="52">
        <v>13</v>
      </c>
      <c r="B68" s="52" t="s">
        <v>36</v>
      </c>
      <c r="C68" s="52" t="b">
        <v>0</v>
      </c>
      <c r="D68" s="52" t="s">
        <v>165</v>
      </c>
      <c r="E68" s="52" t="s">
        <v>44</v>
      </c>
      <c r="F68" s="52" t="s">
        <v>38</v>
      </c>
      <c r="G68" s="52" t="s">
        <v>14</v>
      </c>
      <c r="H68" s="52" t="s">
        <v>39</v>
      </c>
      <c r="I68" s="52" t="s">
        <v>47</v>
      </c>
      <c r="J68" s="52">
        <v>2.5564470185256862</v>
      </c>
      <c r="K68" s="52" t="s">
        <v>160</v>
      </c>
      <c r="L68" s="52" t="s">
        <v>160</v>
      </c>
      <c r="M68" s="52">
        <v>23.940913802661036</v>
      </c>
      <c r="N68" s="52">
        <v>0.91168524902760995</v>
      </c>
      <c r="O68" s="52">
        <v>23.940913802661036</v>
      </c>
      <c r="P68" s="52" t="s">
        <v>160</v>
      </c>
      <c r="Q68" s="52" t="b">
        <v>0</v>
      </c>
      <c r="R68" s="52">
        <v>47660.913</v>
      </c>
      <c r="S68" s="52" t="b">
        <v>1</v>
      </c>
      <c r="T68" s="52">
        <v>3</v>
      </c>
      <c r="U68" s="52">
        <v>13</v>
      </c>
    </row>
    <row r="69" spans="1:21" x14ac:dyDescent="0.25">
      <c r="A69" s="52">
        <v>13</v>
      </c>
      <c r="B69" s="52" t="s">
        <v>36</v>
      </c>
      <c r="C69" s="52" t="b">
        <v>0</v>
      </c>
      <c r="D69" s="52" t="s">
        <v>165</v>
      </c>
      <c r="E69" s="52" t="s">
        <v>45</v>
      </c>
      <c r="F69" s="52" t="s">
        <v>38</v>
      </c>
      <c r="G69" s="52" t="s">
        <v>10</v>
      </c>
      <c r="H69" s="52" t="s">
        <v>39</v>
      </c>
      <c r="I69" s="52" t="s">
        <v>139</v>
      </c>
      <c r="J69" s="52">
        <v>2.0959193021948437</v>
      </c>
      <c r="K69" s="52" t="s">
        <v>160</v>
      </c>
      <c r="L69" s="52" t="s">
        <v>160</v>
      </c>
      <c r="M69" s="52" t="s">
        <v>41</v>
      </c>
      <c r="N69" s="52">
        <v>0</v>
      </c>
      <c r="O69" s="52" t="s">
        <v>160</v>
      </c>
      <c r="P69" s="52" t="s">
        <v>160</v>
      </c>
      <c r="Q69" s="52" t="b">
        <v>0</v>
      </c>
      <c r="R69" s="52">
        <v>161088.065</v>
      </c>
      <c r="S69" s="52" t="b">
        <v>1</v>
      </c>
      <c r="T69" s="52">
        <v>3</v>
      </c>
      <c r="U69" s="52">
        <v>49</v>
      </c>
    </row>
    <row r="70" spans="1:21" x14ac:dyDescent="0.25">
      <c r="A70" s="52">
        <v>14</v>
      </c>
      <c r="B70" s="52" t="s">
        <v>46</v>
      </c>
      <c r="C70" s="52" t="b">
        <v>0</v>
      </c>
      <c r="D70" s="52" t="s">
        <v>166</v>
      </c>
      <c r="E70" s="52" t="s">
        <v>37</v>
      </c>
      <c r="F70" s="52" t="s">
        <v>38</v>
      </c>
      <c r="G70" s="52" t="s">
        <v>11</v>
      </c>
      <c r="H70" s="52" t="s">
        <v>39</v>
      </c>
      <c r="I70" s="52" t="s">
        <v>47</v>
      </c>
      <c r="J70" s="52">
        <v>2.7298768891334788</v>
      </c>
      <c r="K70" s="52" t="s">
        <v>160</v>
      </c>
      <c r="L70" s="52" t="s">
        <v>160</v>
      </c>
      <c r="M70" s="52">
        <v>28.241611534618915</v>
      </c>
      <c r="N70" s="52">
        <v>0.97634669505995664</v>
      </c>
      <c r="O70" s="52">
        <v>28.241611534618915</v>
      </c>
      <c r="P70" s="52" t="s">
        <v>160</v>
      </c>
      <c r="Q70" s="52" t="b">
        <v>0</v>
      </c>
      <c r="R70" s="52">
        <v>74142.899999999994</v>
      </c>
      <c r="S70" s="52" t="b">
        <v>1</v>
      </c>
      <c r="T70" s="52">
        <v>3</v>
      </c>
      <c r="U70" s="52">
        <v>19</v>
      </c>
    </row>
    <row r="71" spans="1:21" x14ac:dyDescent="0.25">
      <c r="A71" s="52">
        <v>14</v>
      </c>
      <c r="B71" s="52" t="s">
        <v>46</v>
      </c>
      <c r="C71" s="52" t="b">
        <v>0</v>
      </c>
      <c r="D71" s="52" t="s">
        <v>166</v>
      </c>
      <c r="E71" s="52" t="s">
        <v>42</v>
      </c>
      <c r="F71" s="52" t="s">
        <v>38</v>
      </c>
      <c r="G71" s="52" t="s">
        <v>13</v>
      </c>
      <c r="H71" s="52" t="s">
        <v>39</v>
      </c>
      <c r="I71" s="52" t="s">
        <v>47</v>
      </c>
      <c r="J71" s="52">
        <v>2.6696334010312541</v>
      </c>
      <c r="K71" s="52" t="s">
        <v>160</v>
      </c>
      <c r="L71" s="52" t="s">
        <v>160</v>
      </c>
      <c r="M71" s="52">
        <v>30.298671890605334</v>
      </c>
      <c r="N71" s="52">
        <v>0.90701595127185008</v>
      </c>
      <c r="O71" s="52">
        <v>30.298671890605334</v>
      </c>
      <c r="P71" s="52" t="s">
        <v>160</v>
      </c>
      <c r="Q71" s="52" t="b">
        <v>0</v>
      </c>
      <c r="R71" s="52">
        <v>46910.862999999998</v>
      </c>
      <c r="S71" s="52" t="b">
        <v>1</v>
      </c>
      <c r="T71" s="52">
        <v>3</v>
      </c>
      <c r="U71" s="52">
        <v>23</v>
      </c>
    </row>
    <row r="72" spans="1:21" x14ac:dyDescent="0.25">
      <c r="A72" s="52">
        <v>14</v>
      </c>
      <c r="B72" s="52" t="s">
        <v>46</v>
      </c>
      <c r="C72" s="52" t="b">
        <v>0</v>
      </c>
      <c r="D72" s="52" t="s">
        <v>166</v>
      </c>
      <c r="E72" s="52" t="s">
        <v>43</v>
      </c>
      <c r="F72" s="52" t="s">
        <v>38</v>
      </c>
      <c r="G72" s="52" t="s">
        <v>12</v>
      </c>
      <c r="H72" s="52" t="s">
        <v>39</v>
      </c>
      <c r="I72" s="52" t="s">
        <v>40</v>
      </c>
      <c r="J72" s="52">
        <v>0</v>
      </c>
      <c r="K72" s="52" t="s">
        <v>160</v>
      </c>
      <c r="L72" s="52" t="s">
        <v>160</v>
      </c>
      <c r="M72" s="52" t="s">
        <v>41</v>
      </c>
      <c r="N72" s="52">
        <v>0</v>
      </c>
      <c r="O72" s="52" t="s">
        <v>160</v>
      </c>
      <c r="P72" s="52" t="s">
        <v>160</v>
      </c>
      <c r="Q72" s="52" t="b">
        <v>0</v>
      </c>
      <c r="R72" s="52">
        <v>69932.437000000005</v>
      </c>
      <c r="S72" s="52" t="b">
        <v>1</v>
      </c>
      <c r="T72" s="52">
        <v>3</v>
      </c>
      <c r="U72" s="52">
        <v>49</v>
      </c>
    </row>
    <row r="73" spans="1:21" x14ac:dyDescent="0.25">
      <c r="A73" s="52">
        <v>14</v>
      </c>
      <c r="B73" s="52" t="s">
        <v>46</v>
      </c>
      <c r="C73" s="52" t="b">
        <v>0</v>
      </c>
      <c r="D73" s="52" t="s">
        <v>166</v>
      </c>
      <c r="E73" s="52" t="s">
        <v>44</v>
      </c>
      <c r="F73" s="52" t="s">
        <v>38</v>
      </c>
      <c r="G73" s="52" t="s">
        <v>14</v>
      </c>
      <c r="H73" s="52" t="s">
        <v>39</v>
      </c>
      <c r="I73" s="52" t="s">
        <v>47</v>
      </c>
      <c r="J73" s="52">
        <v>2.574241268169903</v>
      </c>
      <c r="K73" s="52" t="s">
        <v>160</v>
      </c>
      <c r="L73" s="52" t="s">
        <v>160</v>
      </c>
      <c r="M73" s="52">
        <v>25.702257538938056</v>
      </c>
      <c r="N73" s="52">
        <v>0.95693746905683885</v>
      </c>
      <c r="O73" s="52">
        <v>25.702257538938056</v>
      </c>
      <c r="P73" s="52" t="s">
        <v>160</v>
      </c>
      <c r="Q73" s="52" t="b">
        <v>0</v>
      </c>
      <c r="R73" s="52">
        <v>47660.913</v>
      </c>
      <c r="S73" s="52" t="b">
        <v>1</v>
      </c>
      <c r="T73" s="52">
        <v>3</v>
      </c>
      <c r="U73" s="52">
        <v>18</v>
      </c>
    </row>
    <row r="74" spans="1:21" x14ac:dyDescent="0.25">
      <c r="A74" s="52">
        <v>14</v>
      </c>
      <c r="B74" s="52" t="s">
        <v>46</v>
      </c>
      <c r="C74" s="52" t="b">
        <v>0</v>
      </c>
      <c r="D74" s="52" t="s">
        <v>166</v>
      </c>
      <c r="E74" s="52" t="s">
        <v>45</v>
      </c>
      <c r="F74" s="52" t="s">
        <v>38</v>
      </c>
      <c r="G74" s="52" t="s">
        <v>10</v>
      </c>
      <c r="H74" s="52" t="s">
        <v>39</v>
      </c>
      <c r="I74" s="52" t="s">
        <v>40</v>
      </c>
      <c r="J74" s="52">
        <v>0</v>
      </c>
      <c r="K74" s="52" t="s">
        <v>160</v>
      </c>
      <c r="L74" s="52" t="s">
        <v>160</v>
      </c>
      <c r="M74" s="52" t="s">
        <v>41</v>
      </c>
      <c r="N74" s="52">
        <v>0</v>
      </c>
      <c r="O74" s="52" t="s">
        <v>160</v>
      </c>
      <c r="P74" s="52" t="s">
        <v>160</v>
      </c>
      <c r="Q74" s="52" t="b">
        <v>0</v>
      </c>
      <c r="R74" s="52">
        <v>161088.065</v>
      </c>
      <c r="S74" s="52" t="b">
        <v>1</v>
      </c>
      <c r="T74" s="52">
        <v>3</v>
      </c>
      <c r="U74" s="52">
        <v>49</v>
      </c>
    </row>
    <row r="75" spans="1:21" x14ac:dyDescent="0.25">
      <c r="A75" s="52">
        <v>15</v>
      </c>
      <c r="B75" s="52" t="s">
        <v>48</v>
      </c>
      <c r="C75" s="52" t="b">
        <v>0</v>
      </c>
      <c r="D75" s="52" t="s">
        <v>167</v>
      </c>
      <c r="E75" s="52" t="s">
        <v>37</v>
      </c>
      <c r="F75" s="52" t="s">
        <v>38</v>
      </c>
      <c r="G75" s="52" t="s">
        <v>11</v>
      </c>
      <c r="H75" s="52" t="s">
        <v>39</v>
      </c>
      <c r="I75" s="52" t="s">
        <v>47</v>
      </c>
      <c r="J75" s="52">
        <v>2.7553283345908501</v>
      </c>
      <c r="K75" s="52" t="s">
        <v>160</v>
      </c>
      <c r="L75" s="52" t="s">
        <v>160</v>
      </c>
      <c r="M75" s="52">
        <v>28.000808706514448</v>
      </c>
      <c r="N75" s="52">
        <v>0.97190234495607963</v>
      </c>
      <c r="O75" s="52">
        <v>28.000808706514448</v>
      </c>
      <c r="P75" s="52" t="s">
        <v>160</v>
      </c>
      <c r="Q75" s="52" t="b">
        <v>0</v>
      </c>
      <c r="R75" s="52">
        <v>74142.899999999994</v>
      </c>
      <c r="S75" s="52" t="b">
        <v>1</v>
      </c>
      <c r="T75" s="52">
        <v>3</v>
      </c>
      <c r="U75" s="52">
        <v>20</v>
      </c>
    </row>
    <row r="76" spans="1:21" x14ac:dyDescent="0.25">
      <c r="A76" s="52">
        <v>15</v>
      </c>
      <c r="B76" s="52" t="s">
        <v>48</v>
      </c>
      <c r="C76" s="52" t="b">
        <v>0</v>
      </c>
      <c r="D76" s="52" t="s">
        <v>167</v>
      </c>
      <c r="E76" s="52" t="s">
        <v>42</v>
      </c>
      <c r="F76" s="52" t="s">
        <v>38</v>
      </c>
      <c r="G76" s="52" t="s">
        <v>13</v>
      </c>
      <c r="H76" s="52" t="s">
        <v>39</v>
      </c>
      <c r="I76" s="52" t="s">
        <v>47</v>
      </c>
      <c r="J76" s="52">
        <v>2.6893153292832546</v>
      </c>
      <c r="K76" s="52" t="s">
        <v>160</v>
      </c>
      <c r="L76" s="52" t="s">
        <v>160</v>
      </c>
      <c r="M76" s="52">
        <v>30.57744388243588</v>
      </c>
      <c r="N76" s="52">
        <v>0.95762681131699146</v>
      </c>
      <c r="O76" s="52">
        <v>30.57744388243588</v>
      </c>
      <c r="P76" s="52" t="s">
        <v>160</v>
      </c>
      <c r="Q76" s="52" t="b">
        <v>0</v>
      </c>
      <c r="R76" s="52">
        <v>46910.862999999998</v>
      </c>
      <c r="S76" s="52" t="b">
        <v>1</v>
      </c>
      <c r="T76" s="52">
        <v>3</v>
      </c>
      <c r="U76" s="52">
        <v>22</v>
      </c>
    </row>
    <row r="77" spans="1:21" x14ac:dyDescent="0.25">
      <c r="A77" s="52">
        <v>15</v>
      </c>
      <c r="B77" s="52" t="s">
        <v>48</v>
      </c>
      <c r="C77" s="52" t="b">
        <v>0</v>
      </c>
      <c r="D77" s="52" t="s">
        <v>167</v>
      </c>
      <c r="E77" s="52" t="s">
        <v>43</v>
      </c>
      <c r="F77" s="52" t="s">
        <v>38</v>
      </c>
      <c r="G77" s="52" t="s">
        <v>12</v>
      </c>
      <c r="H77" s="52" t="s">
        <v>39</v>
      </c>
      <c r="I77" s="52" t="s">
        <v>40</v>
      </c>
      <c r="J77" s="52">
        <v>0</v>
      </c>
      <c r="K77" s="52" t="s">
        <v>160</v>
      </c>
      <c r="L77" s="52" t="s">
        <v>160</v>
      </c>
      <c r="M77" s="52" t="s">
        <v>41</v>
      </c>
      <c r="N77" s="52">
        <v>0</v>
      </c>
      <c r="O77" s="52" t="s">
        <v>160</v>
      </c>
      <c r="P77" s="52" t="s">
        <v>160</v>
      </c>
      <c r="Q77" s="52" t="b">
        <v>0</v>
      </c>
      <c r="R77" s="52">
        <v>69932.437000000005</v>
      </c>
      <c r="S77" s="52" t="b">
        <v>1</v>
      </c>
      <c r="T77" s="52">
        <v>3</v>
      </c>
      <c r="U77" s="52">
        <v>49</v>
      </c>
    </row>
    <row r="78" spans="1:21" x14ac:dyDescent="0.25">
      <c r="A78" s="52">
        <v>15</v>
      </c>
      <c r="B78" s="52" t="s">
        <v>48</v>
      </c>
      <c r="C78" s="52" t="b">
        <v>0</v>
      </c>
      <c r="D78" s="52" t="s">
        <v>167</v>
      </c>
      <c r="E78" s="52" t="s">
        <v>44</v>
      </c>
      <c r="F78" s="52" t="s">
        <v>38</v>
      </c>
      <c r="G78" s="52" t="s">
        <v>14</v>
      </c>
      <c r="H78" s="52" t="s">
        <v>39</v>
      </c>
      <c r="I78" s="52" t="s">
        <v>47</v>
      </c>
      <c r="J78" s="52">
        <v>2.6217362180329733</v>
      </c>
      <c r="K78" s="52" t="s">
        <v>160</v>
      </c>
      <c r="L78" s="52" t="s">
        <v>160</v>
      </c>
      <c r="M78" s="52">
        <v>24.459486358995967</v>
      </c>
      <c r="N78" s="52">
        <v>0.95307267366632376</v>
      </c>
      <c r="O78" s="52">
        <v>24.459486358995967</v>
      </c>
      <c r="P78" s="52" t="s">
        <v>160</v>
      </c>
      <c r="Q78" s="52" t="b">
        <v>0</v>
      </c>
      <c r="R78" s="52">
        <v>47660.913</v>
      </c>
      <c r="S78" s="52" t="b">
        <v>1</v>
      </c>
      <c r="T78" s="52">
        <v>3</v>
      </c>
      <c r="U78" s="52">
        <v>16</v>
      </c>
    </row>
    <row r="79" spans="1:21" x14ac:dyDescent="0.25">
      <c r="A79" s="52">
        <v>15</v>
      </c>
      <c r="B79" s="52" t="s">
        <v>48</v>
      </c>
      <c r="C79" s="52" t="b">
        <v>0</v>
      </c>
      <c r="D79" s="52" t="s">
        <v>167</v>
      </c>
      <c r="E79" s="52" t="s">
        <v>45</v>
      </c>
      <c r="F79" s="52" t="s">
        <v>38</v>
      </c>
      <c r="G79" s="52" t="s">
        <v>10</v>
      </c>
      <c r="H79" s="52" t="s">
        <v>39</v>
      </c>
      <c r="I79" s="52" t="s">
        <v>40</v>
      </c>
      <c r="J79" s="52">
        <v>0</v>
      </c>
      <c r="K79" s="52" t="s">
        <v>160</v>
      </c>
      <c r="L79" s="52" t="s">
        <v>160</v>
      </c>
      <c r="M79" s="52" t="s">
        <v>41</v>
      </c>
      <c r="N79" s="52">
        <v>0</v>
      </c>
      <c r="O79" s="52" t="s">
        <v>160</v>
      </c>
      <c r="P79" s="52" t="s">
        <v>160</v>
      </c>
      <c r="Q79" s="52" t="b">
        <v>0</v>
      </c>
      <c r="R79" s="52">
        <v>161088.065</v>
      </c>
      <c r="S79" s="52" t="b">
        <v>1</v>
      </c>
      <c r="T79" s="52">
        <v>3</v>
      </c>
      <c r="U79" s="52">
        <v>49</v>
      </c>
    </row>
    <row r="80" spans="1:21" x14ac:dyDescent="0.25">
      <c r="A80" s="52">
        <v>16</v>
      </c>
      <c r="B80" s="52" t="s">
        <v>49</v>
      </c>
      <c r="C80" s="52" t="b">
        <v>0</v>
      </c>
      <c r="D80" s="52" t="s">
        <v>168</v>
      </c>
      <c r="E80" s="52" t="s">
        <v>37</v>
      </c>
      <c r="F80" s="52" t="s">
        <v>38</v>
      </c>
      <c r="G80" s="52" t="s">
        <v>11</v>
      </c>
      <c r="H80" s="52" t="s">
        <v>39</v>
      </c>
      <c r="I80" s="52" t="s">
        <v>47</v>
      </c>
      <c r="J80" s="52">
        <v>2.7533215053000042</v>
      </c>
      <c r="K80" s="52" t="s">
        <v>160</v>
      </c>
      <c r="L80" s="52" t="s">
        <v>160</v>
      </c>
      <c r="M80" s="52">
        <v>28.05814401694299</v>
      </c>
      <c r="N80" s="52">
        <v>0.96788048839720764</v>
      </c>
      <c r="O80" s="52">
        <v>28.05814401694299</v>
      </c>
      <c r="P80" s="52" t="s">
        <v>160</v>
      </c>
      <c r="Q80" s="52" t="b">
        <v>0</v>
      </c>
      <c r="R80" s="52">
        <v>74142.899999999994</v>
      </c>
      <c r="S80" s="52" t="b">
        <v>1</v>
      </c>
      <c r="T80" s="52">
        <v>3</v>
      </c>
      <c r="U80" s="52">
        <v>19</v>
      </c>
    </row>
    <row r="81" spans="1:21" x14ac:dyDescent="0.25">
      <c r="A81" s="52">
        <v>16</v>
      </c>
      <c r="B81" s="52" t="s">
        <v>49</v>
      </c>
      <c r="C81" s="52" t="b">
        <v>0</v>
      </c>
      <c r="D81" s="52" t="s">
        <v>168</v>
      </c>
      <c r="E81" s="52" t="s">
        <v>42</v>
      </c>
      <c r="F81" s="52" t="s">
        <v>38</v>
      </c>
      <c r="G81" s="52" t="s">
        <v>13</v>
      </c>
      <c r="H81" s="52" t="s">
        <v>39</v>
      </c>
      <c r="I81" s="52" t="s">
        <v>47</v>
      </c>
      <c r="J81" s="52">
        <v>2.694072534303154</v>
      </c>
      <c r="K81" s="52" t="s">
        <v>160</v>
      </c>
      <c r="L81" s="52" t="s">
        <v>160</v>
      </c>
      <c r="M81" s="52">
        <v>30.281649106288491</v>
      </c>
      <c r="N81" s="52">
        <v>0.96355804370905873</v>
      </c>
      <c r="O81" s="52">
        <v>30.281649106288491</v>
      </c>
      <c r="P81" s="52" t="s">
        <v>160</v>
      </c>
      <c r="Q81" s="52" t="b">
        <v>0</v>
      </c>
      <c r="R81" s="52">
        <v>46910.862999999998</v>
      </c>
      <c r="S81" s="52" t="b">
        <v>1</v>
      </c>
      <c r="T81" s="52">
        <v>3</v>
      </c>
      <c r="U81" s="52">
        <v>23</v>
      </c>
    </row>
    <row r="82" spans="1:21" x14ac:dyDescent="0.25">
      <c r="A82" s="52">
        <v>16</v>
      </c>
      <c r="B82" s="52" t="s">
        <v>49</v>
      </c>
      <c r="C82" s="52" t="b">
        <v>0</v>
      </c>
      <c r="D82" s="52" t="s">
        <v>168</v>
      </c>
      <c r="E82" s="52" t="s">
        <v>43</v>
      </c>
      <c r="F82" s="52" t="s">
        <v>38</v>
      </c>
      <c r="G82" s="52" t="s">
        <v>12</v>
      </c>
      <c r="H82" s="52" t="s">
        <v>39</v>
      </c>
      <c r="I82" s="52" t="s">
        <v>139</v>
      </c>
      <c r="J82" s="52">
        <v>1.9059549902100494</v>
      </c>
      <c r="K82" s="52" t="s">
        <v>160</v>
      </c>
      <c r="L82" s="52" t="s">
        <v>160</v>
      </c>
      <c r="M82" s="52" t="s">
        <v>41</v>
      </c>
      <c r="N82" s="52">
        <v>0</v>
      </c>
      <c r="O82" s="52" t="s">
        <v>160</v>
      </c>
      <c r="P82" s="52" t="s">
        <v>160</v>
      </c>
      <c r="Q82" s="52" t="b">
        <v>0</v>
      </c>
      <c r="R82" s="52">
        <v>69932.437000000005</v>
      </c>
      <c r="S82" s="52" t="b">
        <v>1</v>
      </c>
      <c r="T82" s="52">
        <v>3</v>
      </c>
      <c r="U82" s="52">
        <v>49</v>
      </c>
    </row>
    <row r="83" spans="1:21" x14ac:dyDescent="0.25">
      <c r="A83" s="52">
        <v>16</v>
      </c>
      <c r="B83" s="52" t="s">
        <v>49</v>
      </c>
      <c r="C83" s="52" t="b">
        <v>0</v>
      </c>
      <c r="D83" s="52" t="s">
        <v>168</v>
      </c>
      <c r="E83" s="52" t="s">
        <v>44</v>
      </c>
      <c r="F83" s="52" t="s">
        <v>38</v>
      </c>
      <c r="G83" s="52" t="s">
        <v>14</v>
      </c>
      <c r="H83" s="52" t="s">
        <v>39</v>
      </c>
      <c r="I83" s="52" t="s">
        <v>47</v>
      </c>
      <c r="J83" s="52">
        <v>2.6353030297620958</v>
      </c>
      <c r="K83" s="52" t="s">
        <v>160</v>
      </c>
      <c r="L83" s="52" t="s">
        <v>160</v>
      </c>
      <c r="M83" s="52">
        <v>24.504308607530568</v>
      </c>
      <c r="N83" s="52">
        <v>0.96622097727118506</v>
      </c>
      <c r="O83" s="52">
        <v>24.504308607530568</v>
      </c>
      <c r="P83" s="52" t="s">
        <v>160</v>
      </c>
      <c r="Q83" s="52" t="b">
        <v>0</v>
      </c>
      <c r="R83" s="52">
        <v>47660.913</v>
      </c>
      <c r="S83" s="52" t="b">
        <v>1</v>
      </c>
      <c r="T83" s="52">
        <v>3</v>
      </c>
      <c r="U83" s="52">
        <v>16</v>
      </c>
    </row>
    <row r="84" spans="1:21" x14ac:dyDescent="0.25">
      <c r="A84" s="52">
        <v>16</v>
      </c>
      <c r="B84" s="52" t="s">
        <v>49</v>
      </c>
      <c r="C84" s="52" t="b">
        <v>0</v>
      </c>
      <c r="D84" s="52" t="s">
        <v>168</v>
      </c>
      <c r="E84" s="52" t="s">
        <v>45</v>
      </c>
      <c r="F84" s="52" t="s">
        <v>38</v>
      </c>
      <c r="G84" s="52" t="s">
        <v>10</v>
      </c>
      <c r="H84" s="52" t="s">
        <v>39</v>
      </c>
      <c r="I84" s="52" t="s">
        <v>139</v>
      </c>
      <c r="J84" s="52">
        <v>0</v>
      </c>
      <c r="K84" s="52" t="s">
        <v>160</v>
      </c>
      <c r="L84" s="52" t="s">
        <v>160</v>
      </c>
      <c r="M84" s="52" t="s">
        <v>41</v>
      </c>
      <c r="N84" s="52">
        <v>0</v>
      </c>
      <c r="O84" s="52" t="s">
        <v>160</v>
      </c>
      <c r="P84" s="52" t="s">
        <v>160</v>
      </c>
      <c r="Q84" s="52" t="b">
        <v>0</v>
      </c>
      <c r="R84" s="52">
        <v>161088.065</v>
      </c>
      <c r="S84" s="52" t="b">
        <v>1</v>
      </c>
      <c r="T84" s="52">
        <v>3</v>
      </c>
      <c r="U84" s="52">
        <v>49</v>
      </c>
    </row>
    <row r="85" spans="1:21" x14ac:dyDescent="0.25">
      <c r="A85" s="52">
        <v>17</v>
      </c>
      <c r="B85" s="52" t="s">
        <v>50</v>
      </c>
      <c r="C85" s="52" t="b">
        <v>0</v>
      </c>
      <c r="D85" s="52" t="s">
        <v>169</v>
      </c>
      <c r="E85" s="52" t="s">
        <v>37</v>
      </c>
      <c r="F85" s="52" t="s">
        <v>38</v>
      </c>
      <c r="G85" s="52" t="s">
        <v>11</v>
      </c>
      <c r="H85" s="52" t="s">
        <v>39</v>
      </c>
      <c r="I85" s="52" t="s">
        <v>47</v>
      </c>
      <c r="J85" s="52">
        <v>2.7536086397598192</v>
      </c>
      <c r="K85" s="52" t="s">
        <v>160</v>
      </c>
      <c r="L85" s="52" t="s">
        <v>160</v>
      </c>
      <c r="M85" s="52">
        <v>28.187705824677622</v>
      </c>
      <c r="N85" s="52">
        <v>0.97188433860598655</v>
      </c>
      <c r="O85" s="52">
        <v>28.187705824677622</v>
      </c>
      <c r="P85" s="52" t="s">
        <v>160</v>
      </c>
      <c r="Q85" s="52" t="b">
        <v>0</v>
      </c>
      <c r="R85" s="52">
        <v>74142.899999999994</v>
      </c>
      <c r="S85" s="52" t="b">
        <v>1</v>
      </c>
      <c r="T85" s="52">
        <v>3</v>
      </c>
      <c r="U85" s="52">
        <v>19</v>
      </c>
    </row>
    <row r="86" spans="1:21" x14ac:dyDescent="0.25">
      <c r="A86" s="52">
        <v>17</v>
      </c>
      <c r="B86" s="52" t="s">
        <v>50</v>
      </c>
      <c r="C86" s="52" t="b">
        <v>0</v>
      </c>
      <c r="D86" s="52" t="s">
        <v>169</v>
      </c>
      <c r="E86" s="52" t="s">
        <v>42</v>
      </c>
      <c r="F86" s="52" t="s">
        <v>38</v>
      </c>
      <c r="G86" s="52" t="s">
        <v>13</v>
      </c>
      <c r="H86" s="52" t="s">
        <v>39</v>
      </c>
      <c r="I86" s="52" t="s">
        <v>47</v>
      </c>
      <c r="J86" s="52">
        <v>2.7015932485843597</v>
      </c>
      <c r="K86" s="52" t="s">
        <v>160</v>
      </c>
      <c r="L86" s="52" t="s">
        <v>160</v>
      </c>
      <c r="M86" s="52">
        <v>30.731935292017205</v>
      </c>
      <c r="N86" s="52">
        <v>0.88216841136735258</v>
      </c>
      <c r="O86" s="52">
        <v>30.731935292017205</v>
      </c>
      <c r="P86" s="52" t="s">
        <v>160</v>
      </c>
      <c r="Q86" s="52" t="b">
        <v>0</v>
      </c>
      <c r="R86" s="52">
        <v>46910.862999999998</v>
      </c>
      <c r="S86" s="52" t="b">
        <v>1</v>
      </c>
      <c r="T86" s="52">
        <v>3</v>
      </c>
      <c r="U86" s="52">
        <v>26</v>
      </c>
    </row>
    <row r="87" spans="1:21" x14ac:dyDescent="0.25">
      <c r="A87" s="52">
        <v>17</v>
      </c>
      <c r="B87" s="52" t="s">
        <v>50</v>
      </c>
      <c r="C87" s="52" t="b">
        <v>0</v>
      </c>
      <c r="D87" s="52" t="s">
        <v>169</v>
      </c>
      <c r="E87" s="52" t="s">
        <v>43</v>
      </c>
      <c r="F87" s="52" t="s">
        <v>38</v>
      </c>
      <c r="G87" s="52" t="s">
        <v>12</v>
      </c>
      <c r="H87" s="52" t="s">
        <v>39</v>
      </c>
      <c r="I87" s="52" t="s">
        <v>139</v>
      </c>
      <c r="J87" s="52">
        <v>0</v>
      </c>
      <c r="K87" s="52" t="s">
        <v>160</v>
      </c>
      <c r="L87" s="52" t="s">
        <v>160</v>
      </c>
      <c r="M87" s="52" t="s">
        <v>41</v>
      </c>
      <c r="N87" s="52">
        <v>0</v>
      </c>
      <c r="O87" s="52" t="s">
        <v>160</v>
      </c>
      <c r="P87" s="52" t="s">
        <v>160</v>
      </c>
      <c r="Q87" s="52" t="b">
        <v>0</v>
      </c>
      <c r="R87" s="52">
        <v>69932.437000000005</v>
      </c>
      <c r="S87" s="52" t="b">
        <v>1</v>
      </c>
      <c r="T87" s="52">
        <v>3</v>
      </c>
      <c r="U87" s="52">
        <v>49</v>
      </c>
    </row>
    <row r="88" spans="1:21" x14ac:dyDescent="0.25">
      <c r="A88" s="52">
        <v>17</v>
      </c>
      <c r="B88" s="52" t="s">
        <v>50</v>
      </c>
      <c r="C88" s="52" t="b">
        <v>0</v>
      </c>
      <c r="D88" s="52" t="s">
        <v>169</v>
      </c>
      <c r="E88" s="52" t="s">
        <v>44</v>
      </c>
      <c r="F88" s="52" t="s">
        <v>38</v>
      </c>
      <c r="G88" s="52" t="s">
        <v>14</v>
      </c>
      <c r="H88" s="52" t="s">
        <v>39</v>
      </c>
      <c r="I88" s="52" t="s">
        <v>47</v>
      </c>
      <c r="J88" s="52">
        <v>2.6462173066647439</v>
      </c>
      <c r="K88" s="52" t="s">
        <v>160</v>
      </c>
      <c r="L88" s="52" t="s">
        <v>160</v>
      </c>
      <c r="M88" s="52">
        <v>25.539513735968974</v>
      </c>
      <c r="N88" s="52">
        <v>0.932734528756749</v>
      </c>
      <c r="O88" s="52">
        <v>25.539513735968974</v>
      </c>
      <c r="P88" s="52" t="s">
        <v>160</v>
      </c>
      <c r="Q88" s="52" t="b">
        <v>0</v>
      </c>
      <c r="R88" s="52">
        <v>47660.913</v>
      </c>
      <c r="S88" s="52" t="b">
        <v>1</v>
      </c>
      <c r="T88" s="52">
        <v>3</v>
      </c>
      <c r="U88" s="52">
        <v>18</v>
      </c>
    </row>
    <row r="89" spans="1:21" x14ac:dyDescent="0.25">
      <c r="A89" s="52">
        <v>17</v>
      </c>
      <c r="B89" s="52" t="s">
        <v>50</v>
      </c>
      <c r="C89" s="52" t="b">
        <v>0</v>
      </c>
      <c r="D89" s="52" t="s">
        <v>169</v>
      </c>
      <c r="E89" s="52" t="s">
        <v>45</v>
      </c>
      <c r="F89" s="52" t="s">
        <v>38</v>
      </c>
      <c r="G89" s="52" t="s">
        <v>10</v>
      </c>
      <c r="H89" s="52" t="s">
        <v>39</v>
      </c>
      <c r="I89" s="52" t="s">
        <v>139</v>
      </c>
      <c r="J89" s="52">
        <v>0</v>
      </c>
      <c r="K89" s="52" t="s">
        <v>160</v>
      </c>
      <c r="L89" s="52" t="s">
        <v>160</v>
      </c>
      <c r="M89" s="52" t="s">
        <v>41</v>
      </c>
      <c r="N89" s="52">
        <v>0</v>
      </c>
      <c r="O89" s="52" t="s">
        <v>160</v>
      </c>
      <c r="P89" s="52" t="s">
        <v>160</v>
      </c>
      <c r="Q89" s="52" t="b">
        <v>0</v>
      </c>
      <c r="R89" s="52">
        <v>161088.065</v>
      </c>
      <c r="S89" s="52" t="b">
        <v>1</v>
      </c>
      <c r="T89" s="52">
        <v>3</v>
      </c>
      <c r="U89" s="52">
        <v>49</v>
      </c>
    </row>
    <row r="90" spans="1:21" x14ac:dyDescent="0.25">
      <c r="A90" s="52">
        <v>18</v>
      </c>
      <c r="B90" s="52" t="s">
        <v>217</v>
      </c>
      <c r="C90" s="52" t="b">
        <v>0</v>
      </c>
      <c r="D90" s="52" t="s">
        <v>197</v>
      </c>
      <c r="E90" s="52" t="s">
        <v>37</v>
      </c>
      <c r="F90" s="52" t="s">
        <v>38</v>
      </c>
      <c r="G90" s="52" t="s">
        <v>11</v>
      </c>
      <c r="H90" s="52" t="s">
        <v>39</v>
      </c>
      <c r="I90" s="52" t="s">
        <v>47</v>
      </c>
      <c r="J90" s="52">
        <v>2.7649638492892148</v>
      </c>
      <c r="K90" s="52" t="s">
        <v>160</v>
      </c>
      <c r="L90" s="52" t="s">
        <v>160</v>
      </c>
      <c r="M90" s="52">
        <v>30.279534427064831</v>
      </c>
      <c r="N90" s="52">
        <v>0.95079782808382141</v>
      </c>
      <c r="O90" s="52">
        <v>30.279534427064831</v>
      </c>
      <c r="P90" s="52" t="s">
        <v>160</v>
      </c>
      <c r="Q90" s="52" t="b">
        <v>0</v>
      </c>
      <c r="R90" s="52">
        <v>74142.899999999994</v>
      </c>
      <c r="S90" s="52" t="b">
        <v>1</v>
      </c>
      <c r="T90" s="52">
        <v>3</v>
      </c>
      <c r="U90" s="52">
        <v>23</v>
      </c>
    </row>
    <row r="91" spans="1:21" x14ac:dyDescent="0.25">
      <c r="A91" s="52">
        <v>18</v>
      </c>
      <c r="B91" s="52" t="s">
        <v>217</v>
      </c>
      <c r="C91" s="52" t="b">
        <v>0</v>
      </c>
      <c r="D91" s="52" t="s">
        <v>197</v>
      </c>
      <c r="E91" s="52" t="s">
        <v>42</v>
      </c>
      <c r="F91" s="52" t="s">
        <v>38</v>
      </c>
      <c r="G91" s="52" t="s">
        <v>13</v>
      </c>
      <c r="H91" s="52" t="s">
        <v>39</v>
      </c>
      <c r="I91" s="52" t="s">
        <v>47</v>
      </c>
      <c r="J91" s="52">
        <v>2.4694116312344652</v>
      </c>
      <c r="K91" s="52" t="s">
        <v>160</v>
      </c>
      <c r="L91" s="52" t="s">
        <v>160</v>
      </c>
      <c r="M91" s="52">
        <v>34.217902804651409</v>
      </c>
      <c r="N91" s="52">
        <v>0.65126367194851442</v>
      </c>
      <c r="O91" s="52">
        <v>34.217902804651409</v>
      </c>
      <c r="P91" s="52" t="s">
        <v>160</v>
      </c>
      <c r="Q91" s="52" t="b">
        <v>0</v>
      </c>
      <c r="R91" s="52">
        <v>46910.862999999998</v>
      </c>
      <c r="S91" s="52" t="b">
        <v>1</v>
      </c>
      <c r="T91" s="52">
        <v>3</v>
      </c>
      <c r="U91" s="52">
        <v>28</v>
      </c>
    </row>
    <row r="92" spans="1:21" x14ac:dyDescent="0.25">
      <c r="A92" s="52">
        <v>18</v>
      </c>
      <c r="B92" s="52" t="s">
        <v>217</v>
      </c>
      <c r="C92" s="52" t="b">
        <v>0</v>
      </c>
      <c r="D92" s="52" t="s">
        <v>197</v>
      </c>
      <c r="E92" s="52" t="s">
        <v>43</v>
      </c>
      <c r="F92" s="52" t="s">
        <v>38</v>
      </c>
      <c r="G92" s="52" t="s">
        <v>12</v>
      </c>
      <c r="H92" s="52" t="s">
        <v>39</v>
      </c>
      <c r="I92" s="52" t="s">
        <v>40</v>
      </c>
      <c r="J92" s="52">
        <v>0</v>
      </c>
      <c r="K92" s="52" t="s">
        <v>160</v>
      </c>
      <c r="L92" s="52" t="s">
        <v>160</v>
      </c>
      <c r="M92" s="52" t="s">
        <v>41</v>
      </c>
      <c r="N92" s="52">
        <v>0</v>
      </c>
      <c r="O92" s="52" t="s">
        <v>160</v>
      </c>
      <c r="P92" s="52" t="s">
        <v>160</v>
      </c>
      <c r="Q92" s="52" t="b">
        <v>0</v>
      </c>
      <c r="R92" s="52">
        <v>69932.437000000005</v>
      </c>
      <c r="S92" s="52" t="b">
        <v>1</v>
      </c>
      <c r="T92" s="52">
        <v>3</v>
      </c>
      <c r="U92" s="52">
        <v>24</v>
      </c>
    </row>
    <row r="93" spans="1:21" x14ac:dyDescent="0.25">
      <c r="A93" s="52">
        <v>18</v>
      </c>
      <c r="B93" s="52" t="s">
        <v>217</v>
      </c>
      <c r="C93" s="52" t="b">
        <v>0</v>
      </c>
      <c r="D93" s="52" t="s">
        <v>197</v>
      </c>
      <c r="E93" s="52" t="s">
        <v>44</v>
      </c>
      <c r="F93" s="52" t="s">
        <v>38</v>
      </c>
      <c r="G93" s="52" t="s">
        <v>14</v>
      </c>
      <c r="H93" s="52" t="s">
        <v>39</v>
      </c>
      <c r="I93" s="52" t="s">
        <v>47</v>
      </c>
      <c r="J93" s="52">
        <v>2.6866009287980517</v>
      </c>
      <c r="K93" s="52" t="s">
        <v>160</v>
      </c>
      <c r="L93" s="52" t="s">
        <v>160</v>
      </c>
      <c r="M93" s="52">
        <v>23.095781141994578</v>
      </c>
      <c r="N93" s="52">
        <v>0.87348891710227039</v>
      </c>
      <c r="O93" s="52">
        <v>23.095781141994578</v>
      </c>
      <c r="P93" s="52" t="s">
        <v>160</v>
      </c>
      <c r="Q93" s="52" t="b">
        <v>0</v>
      </c>
      <c r="R93" s="52">
        <v>47660.913</v>
      </c>
      <c r="S93" s="52" t="b">
        <v>1</v>
      </c>
      <c r="T93" s="52">
        <v>3</v>
      </c>
      <c r="U93" s="52">
        <v>16</v>
      </c>
    </row>
    <row r="94" spans="1:21" x14ac:dyDescent="0.25">
      <c r="A94" s="52">
        <v>18</v>
      </c>
      <c r="B94" s="52" t="s">
        <v>217</v>
      </c>
      <c r="C94" s="52" t="b">
        <v>0</v>
      </c>
      <c r="D94" s="52" t="s">
        <v>197</v>
      </c>
      <c r="E94" s="52" t="s">
        <v>45</v>
      </c>
      <c r="F94" s="52" t="s">
        <v>38</v>
      </c>
      <c r="G94" s="52" t="s">
        <v>10</v>
      </c>
      <c r="H94" s="52" t="s">
        <v>39</v>
      </c>
      <c r="I94" s="52" t="s">
        <v>40</v>
      </c>
      <c r="J94" s="52">
        <v>0</v>
      </c>
      <c r="K94" s="52" t="s">
        <v>160</v>
      </c>
      <c r="L94" s="52" t="s">
        <v>160</v>
      </c>
      <c r="M94" s="52" t="s">
        <v>41</v>
      </c>
      <c r="N94" s="52">
        <v>0</v>
      </c>
      <c r="O94" s="52" t="s">
        <v>160</v>
      </c>
      <c r="P94" s="52" t="s">
        <v>160</v>
      </c>
      <c r="Q94" s="52" t="b">
        <v>0</v>
      </c>
      <c r="R94" s="52">
        <v>161088.065</v>
      </c>
      <c r="S94" s="52" t="b">
        <v>1</v>
      </c>
      <c r="T94" s="52">
        <v>3</v>
      </c>
      <c r="U94" s="52">
        <v>49</v>
      </c>
    </row>
    <row r="95" spans="1:21" x14ac:dyDescent="0.25">
      <c r="A95" s="52">
        <v>19</v>
      </c>
      <c r="B95" s="52" t="s">
        <v>218</v>
      </c>
      <c r="C95" s="52" t="b">
        <v>0</v>
      </c>
      <c r="D95" s="52" t="s">
        <v>198</v>
      </c>
      <c r="E95" s="52" t="s">
        <v>37</v>
      </c>
      <c r="F95" s="52" t="s">
        <v>38</v>
      </c>
      <c r="G95" s="52" t="s">
        <v>11</v>
      </c>
      <c r="H95" s="52" t="s">
        <v>39</v>
      </c>
      <c r="I95" s="52" t="s">
        <v>47</v>
      </c>
      <c r="J95" s="52">
        <v>2.7416630623737586</v>
      </c>
      <c r="K95" s="52" t="s">
        <v>160</v>
      </c>
      <c r="L95" s="52" t="s">
        <v>160</v>
      </c>
      <c r="M95" s="52">
        <v>31.293726638783845</v>
      </c>
      <c r="N95" s="52">
        <v>0.9561141929875081</v>
      </c>
      <c r="O95" s="52">
        <v>31.293726638783845</v>
      </c>
      <c r="P95" s="52" t="s">
        <v>160</v>
      </c>
      <c r="Q95" s="52" t="b">
        <v>0</v>
      </c>
      <c r="R95" s="52">
        <v>74142.899999999994</v>
      </c>
      <c r="S95" s="52" t="b">
        <v>1</v>
      </c>
      <c r="T95" s="52">
        <v>3</v>
      </c>
      <c r="U95" s="52">
        <v>23</v>
      </c>
    </row>
    <row r="96" spans="1:21" x14ac:dyDescent="0.25">
      <c r="A96" s="52">
        <v>19</v>
      </c>
      <c r="B96" s="52" t="s">
        <v>218</v>
      </c>
      <c r="C96" s="52" t="b">
        <v>0</v>
      </c>
      <c r="D96" s="52" t="s">
        <v>198</v>
      </c>
      <c r="E96" s="52" t="s">
        <v>42</v>
      </c>
      <c r="F96" s="52" t="s">
        <v>38</v>
      </c>
      <c r="G96" s="52" t="s">
        <v>13</v>
      </c>
      <c r="H96" s="52" t="s">
        <v>39</v>
      </c>
      <c r="I96" s="52" t="s">
        <v>47</v>
      </c>
      <c r="J96" s="52">
        <v>2.6187942518022629</v>
      </c>
      <c r="K96" s="52" t="s">
        <v>160</v>
      </c>
      <c r="L96" s="52" t="s">
        <v>160</v>
      </c>
      <c r="M96" s="52">
        <v>32.931955083178764</v>
      </c>
      <c r="N96" s="52">
        <v>0.82395371271700069</v>
      </c>
      <c r="O96" s="52">
        <v>32.931955083178764</v>
      </c>
      <c r="P96" s="52" t="s">
        <v>160</v>
      </c>
      <c r="Q96" s="52" t="b">
        <v>0</v>
      </c>
      <c r="R96" s="52">
        <v>46910.862999999998</v>
      </c>
      <c r="S96" s="52" t="b">
        <v>1</v>
      </c>
      <c r="T96" s="52">
        <v>3</v>
      </c>
      <c r="U96" s="52">
        <v>28</v>
      </c>
    </row>
    <row r="97" spans="1:21" x14ac:dyDescent="0.25">
      <c r="A97" s="52">
        <v>19</v>
      </c>
      <c r="B97" s="52" t="s">
        <v>218</v>
      </c>
      <c r="C97" s="52" t="b">
        <v>0</v>
      </c>
      <c r="D97" s="52" t="s">
        <v>198</v>
      </c>
      <c r="E97" s="52" t="s">
        <v>43</v>
      </c>
      <c r="F97" s="52" t="s">
        <v>38</v>
      </c>
      <c r="G97" s="52" t="s">
        <v>12</v>
      </c>
      <c r="H97" s="52" t="s">
        <v>39</v>
      </c>
      <c r="I97" s="52" t="s">
        <v>40</v>
      </c>
      <c r="J97" s="52">
        <v>2.0003322523968361</v>
      </c>
      <c r="K97" s="52" t="s">
        <v>160</v>
      </c>
      <c r="L97" s="52" t="s">
        <v>160</v>
      </c>
      <c r="M97" s="52" t="s">
        <v>41</v>
      </c>
      <c r="N97" s="52">
        <v>0</v>
      </c>
      <c r="O97" s="52" t="s">
        <v>160</v>
      </c>
      <c r="P97" s="52" t="s">
        <v>160</v>
      </c>
      <c r="Q97" s="52" t="b">
        <v>0</v>
      </c>
      <c r="R97" s="52">
        <v>69932.437000000005</v>
      </c>
      <c r="S97" s="52" t="b">
        <v>1</v>
      </c>
      <c r="T97" s="52">
        <v>3</v>
      </c>
      <c r="U97" s="52">
        <v>49</v>
      </c>
    </row>
    <row r="98" spans="1:21" x14ac:dyDescent="0.25">
      <c r="A98" s="52">
        <v>19</v>
      </c>
      <c r="B98" s="52" t="s">
        <v>218</v>
      </c>
      <c r="C98" s="52" t="b">
        <v>0</v>
      </c>
      <c r="D98" s="52" t="s">
        <v>198</v>
      </c>
      <c r="E98" s="52" t="s">
        <v>44</v>
      </c>
      <c r="F98" s="52" t="s">
        <v>38</v>
      </c>
      <c r="G98" s="52" t="s">
        <v>14</v>
      </c>
      <c r="H98" s="52" t="s">
        <v>39</v>
      </c>
      <c r="I98" s="52" t="s">
        <v>47</v>
      </c>
      <c r="J98" s="52">
        <v>2.6785620073386607</v>
      </c>
      <c r="K98" s="52" t="s">
        <v>160</v>
      </c>
      <c r="L98" s="52" t="s">
        <v>160</v>
      </c>
      <c r="M98" s="52">
        <v>24.082877490500394</v>
      </c>
      <c r="N98" s="52">
        <v>0.93092604363323228</v>
      </c>
      <c r="O98" s="52">
        <v>24.082877490500394</v>
      </c>
      <c r="P98" s="52" t="s">
        <v>160</v>
      </c>
      <c r="Q98" s="52" t="b">
        <v>0</v>
      </c>
      <c r="R98" s="52">
        <v>47660.913</v>
      </c>
      <c r="S98" s="52" t="b">
        <v>1</v>
      </c>
      <c r="T98" s="52">
        <v>3</v>
      </c>
      <c r="U98" s="52">
        <v>17</v>
      </c>
    </row>
    <row r="99" spans="1:21" x14ac:dyDescent="0.25">
      <c r="A99" s="52">
        <v>19</v>
      </c>
      <c r="B99" s="52" t="s">
        <v>218</v>
      </c>
      <c r="C99" s="52" t="b">
        <v>0</v>
      </c>
      <c r="D99" s="52" t="s">
        <v>198</v>
      </c>
      <c r="E99" s="52" t="s">
        <v>45</v>
      </c>
      <c r="F99" s="52" t="s">
        <v>38</v>
      </c>
      <c r="G99" s="52" t="s">
        <v>10</v>
      </c>
      <c r="H99" s="52" t="s">
        <v>39</v>
      </c>
      <c r="I99" s="52" t="s">
        <v>40</v>
      </c>
      <c r="J99" s="52">
        <v>0</v>
      </c>
      <c r="K99" s="52" t="s">
        <v>160</v>
      </c>
      <c r="L99" s="52" t="s">
        <v>160</v>
      </c>
      <c r="M99" s="52" t="s">
        <v>41</v>
      </c>
      <c r="N99" s="52">
        <v>0</v>
      </c>
      <c r="O99" s="52" t="s">
        <v>160</v>
      </c>
      <c r="P99" s="52" t="s">
        <v>160</v>
      </c>
      <c r="Q99" s="52" t="b">
        <v>0</v>
      </c>
      <c r="R99" s="52">
        <v>161088.065</v>
      </c>
      <c r="S99" s="52" t="b">
        <v>1</v>
      </c>
      <c r="T99" s="52">
        <v>3</v>
      </c>
      <c r="U99" s="52">
        <v>49</v>
      </c>
    </row>
    <row r="100" spans="1:21" x14ac:dyDescent="0.25">
      <c r="A100" s="52">
        <v>20</v>
      </c>
      <c r="B100" s="52" t="s">
        <v>219</v>
      </c>
      <c r="C100" s="52" t="b">
        <v>0</v>
      </c>
      <c r="D100" s="52" t="s">
        <v>199</v>
      </c>
      <c r="E100" s="52" t="s">
        <v>37</v>
      </c>
      <c r="F100" s="52" t="s">
        <v>38</v>
      </c>
      <c r="G100" s="52" t="s">
        <v>11</v>
      </c>
      <c r="H100" s="52" t="s">
        <v>39</v>
      </c>
      <c r="I100" s="52" t="s">
        <v>47</v>
      </c>
      <c r="J100" s="52">
        <v>2.7063557166588854</v>
      </c>
      <c r="K100" s="52" t="s">
        <v>160</v>
      </c>
      <c r="L100" s="52" t="s">
        <v>160</v>
      </c>
      <c r="M100" s="52">
        <v>32.555615056866756</v>
      </c>
      <c r="N100" s="52">
        <v>0.9020423581131265</v>
      </c>
      <c r="O100" s="52">
        <v>32.555615056866756</v>
      </c>
      <c r="P100" s="52" t="s">
        <v>160</v>
      </c>
      <c r="Q100" s="52" t="b">
        <v>0</v>
      </c>
      <c r="R100" s="52">
        <v>74142.899999999994</v>
      </c>
      <c r="S100" s="52" t="b">
        <v>1</v>
      </c>
      <c r="T100" s="52">
        <v>3</v>
      </c>
      <c r="U100" s="52">
        <v>24</v>
      </c>
    </row>
    <row r="101" spans="1:21" x14ac:dyDescent="0.25">
      <c r="A101" s="52">
        <v>20</v>
      </c>
      <c r="B101" s="52" t="s">
        <v>219</v>
      </c>
      <c r="C101" s="52" t="b">
        <v>0</v>
      </c>
      <c r="D101" s="52" t="s">
        <v>199</v>
      </c>
      <c r="E101" s="52" t="s">
        <v>42</v>
      </c>
      <c r="F101" s="52" t="s">
        <v>38</v>
      </c>
      <c r="G101" s="52" t="s">
        <v>13</v>
      </c>
      <c r="H101" s="52" t="s">
        <v>39</v>
      </c>
      <c r="I101" s="52" t="s">
        <v>47</v>
      </c>
      <c r="J101" s="52">
        <v>2.4968732043912665</v>
      </c>
      <c r="K101" s="52" t="s">
        <v>160</v>
      </c>
      <c r="L101" s="52" t="s">
        <v>160</v>
      </c>
      <c r="M101" s="52">
        <v>34.895367469882622</v>
      </c>
      <c r="N101" s="52">
        <v>0.69678225559708329</v>
      </c>
      <c r="O101" s="52">
        <v>34.895367469882622</v>
      </c>
      <c r="P101" s="52" t="s">
        <v>160</v>
      </c>
      <c r="Q101" s="52" t="b">
        <v>0</v>
      </c>
      <c r="R101" s="52">
        <v>46910.862999999998</v>
      </c>
      <c r="S101" s="52" t="b">
        <v>1</v>
      </c>
      <c r="T101" s="52">
        <v>3</v>
      </c>
      <c r="U101" s="52">
        <v>27</v>
      </c>
    </row>
    <row r="102" spans="1:21" x14ac:dyDescent="0.25">
      <c r="A102" s="52">
        <v>20</v>
      </c>
      <c r="B102" s="52" t="s">
        <v>219</v>
      </c>
      <c r="C102" s="52" t="b">
        <v>0</v>
      </c>
      <c r="D102" s="52" t="s">
        <v>199</v>
      </c>
      <c r="E102" s="52" t="s">
        <v>43</v>
      </c>
      <c r="F102" s="52" t="s">
        <v>38</v>
      </c>
      <c r="G102" s="52" t="s">
        <v>12</v>
      </c>
      <c r="H102" s="52" t="s">
        <v>39</v>
      </c>
      <c r="I102" s="52" t="s">
        <v>40</v>
      </c>
      <c r="J102" s="52">
        <v>0</v>
      </c>
      <c r="K102" s="52" t="s">
        <v>160</v>
      </c>
      <c r="L102" s="52" t="s">
        <v>160</v>
      </c>
      <c r="M102" s="52" t="s">
        <v>41</v>
      </c>
      <c r="N102" s="52">
        <v>0</v>
      </c>
      <c r="O102" s="52" t="s">
        <v>160</v>
      </c>
      <c r="P102" s="52" t="s">
        <v>160</v>
      </c>
      <c r="Q102" s="52" t="b">
        <v>0</v>
      </c>
      <c r="R102" s="52">
        <v>69932.437000000005</v>
      </c>
      <c r="S102" s="52" t="b">
        <v>1</v>
      </c>
      <c r="T102" s="52">
        <v>3</v>
      </c>
      <c r="U102" s="52">
        <v>49</v>
      </c>
    </row>
    <row r="103" spans="1:21" x14ac:dyDescent="0.25">
      <c r="A103" s="52">
        <v>20</v>
      </c>
      <c r="B103" s="52" t="s">
        <v>219</v>
      </c>
      <c r="C103" s="52" t="b">
        <v>0</v>
      </c>
      <c r="D103" s="52" t="s">
        <v>199</v>
      </c>
      <c r="E103" s="52" t="s">
        <v>44</v>
      </c>
      <c r="F103" s="52" t="s">
        <v>38</v>
      </c>
      <c r="G103" s="52" t="s">
        <v>14</v>
      </c>
      <c r="H103" s="52" t="s">
        <v>39</v>
      </c>
      <c r="I103" s="52" t="s">
        <v>47</v>
      </c>
      <c r="J103" s="52">
        <v>2.6600284947072765</v>
      </c>
      <c r="K103" s="52" t="s">
        <v>160</v>
      </c>
      <c r="L103" s="52" t="s">
        <v>160</v>
      </c>
      <c r="M103" s="52">
        <v>24.222264737037385</v>
      </c>
      <c r="N103" s="52">
        <v>0.95634956980715513</v>
      </c>
      <c r="O103" s="52">
        <v>24.222264737037385</v>
      </c>
      <c r="P103" s="52" t="s">
        <v>160</v>
      </c>
      <c r="Q103" s="52" t="b">
        <v>0</v>
      </c>
      <c r="R103" s="52">
        <v>47660.913</v>
      </c>
      <c r="S103" s="52" t="b">
        <v>1</v>
      </c>
      <c r="T103" s="52">
        <v>3</v>
      </c>
      <c r="U103" s="52">
        <v>18</v>
      </c>
    </row>
    <row r="104" spans="1:21" x14ac:dyDescent="0.25">
      <c r="A104" s="52">
        <v>20</v>
      </c>
      <c r="B104" s="52" t="s">
        <v>219</v>
      </c>
      <c r="C104" s="52" t="b">
        <v>0</v>
      </c>
      <c r="D104" s="52" t="s">
        <v>199</v>
      </c>
      <c r="E104" s="52" t="s">
        <v>45</v>
      </c>
      <c r="F104" s="52" t="s">
        <v>38</v>
      </c>
      <c r="G104" s="52" t="s">
        <v>10</v>
      </c>
      <c r="H104" s="52" t="s">
        <v>39</v>
      </c>
      <c r="I104" s="52" t="s">
        <v>40</v>
      </c>
      <c r="J104" s="52">
        <v>0</v>
      </c>
      <c r="K104" s="52" t="s">
        <v>160</v>
      </c>
      <c r="L104" s="52" t="s">
        <v>160</v>
      </c>
      <c r="M104" s="52" t="s">
        <v>41</v>
      </c>
      <c r="N104" s="52">
        <v>0</v>
      </c>
      <c r="O104" s="52" t="s">
        <v>160</v>
      </c>
      <c r="P104" s="52" t="s">
        <v>160</v>
      </c>
      <c r="Q104" s="52" t="b">
        <v>0</v>
      </c>
      <c r="R104" s="52">
        <v>161088.065</v>
      </c>
      <c r="S104" s="52" t="b">
        <v>1</v>
      </c>
      <c r="T104" s="52">
        <v>3</v>
      </c>
      <c r="U104" s="52">
        <v>49</v>
      </c>
    </row>
    <row r="105" spans="1:21" x14ac:dyDescent="0.25">
      <c r="A105" s="52">
        <v>21</v>
      </c>
      <c r="B105" s="52" t="s">
        <v>220</v>
      </c>
      <c r="C105" s="52" t="b">
        <v>0</v>
      </c>
      <c r="D105" s="52" t="s">
        <v>200</v>
      </c>
      <c r="E105" s="52" t="s">
        <v>37</v>
      </c>
      <c r="F105" s="52" t="s">
        <v>38</v>
      </c>
      <c r="G105" s="52" t="s">
        <v>11</v>
      </c>
      <c r="H105" s="52" t="s">
        <v>39</v>
      </c>
      <c r="I105" s="52" t="s">
        <v>47</v>
      </c>
      <c r="J105" s="52">
        <v>2.7564963256076589</v>
      </c>
      <c r="K105" s="52" t="s">
        <v>160</v>
      </c>
      <c r="L105" s="52" t="s">
        <v>160</v>
      </c>
      <c r="M105" s="52">
        <v>29.416589652098168</v>
      </c>
      <c r="N105" s="52">
        <v>0.9621058646149373</v>
      </c>
      <c r="O105" s="52">
        <v>29.416589652098168</v>
      </c>
      <c r="P105" s="52" t="s">
        <v>160</v>
      </c>
      <c r="Q105" s="52" t="b">
        <v>0</v>
      </c>
      <c r="R105" s="52">
        <v>74142.899999999994</v>
      </c>
      <c r="S105" s="52" t="b">
        <v>1</v>
      </c>
      <c r="T105" s="52">
        <v>3</v>
      </c>
      <c r="U105" s="52">
        <v>20</v>
      </c>
    </row>
    <row r="106" spans="1:21" x14ac:dyDescent="0.25">
      <c r="A106" s="52">
        <v>21</v>
      </c>
      <c r="B106" s="52" t="s">
        <v>220</v>
      </c>
      <c r="C106" s="52" t="b">
        <v>0</v>
      </c>
      <c r="D106" s="52" t="s">
        <v>200</v>
      </c>
      <c r="E106" s="52" t="s">
        <v>42</v>
      </c>
      <c r="F106" s="52" t="s">
        <v>38</v>
      </c>
      <c r="G106" s="52" t="s">
        <v>13</v>
      </c>
      <c r="H106" s="52" t="s">
        <v>39</v>
      </c>
      <c r="I106" s="52" t="s">
        <v>47</v>
      </c>
      <c r="J106" s="52">
        <v>2.6737223977014275</v>
      </c>
      <c r="K106" s="52" t="s">
        <v>160</v>
      </c>
      <c r="L106" s="52" t="s">
        <v>160</v>
      </c>
      <c r="M106" s="52">
        <v>31.292783103780828</v>
      </c>
      <c r="N106" s="52">
        <v>0.93633088639456441</v>
      </c>
      <c r="O106" s="52">
        <v>31.292783103780828</v>
      </c>
      <c r="P106" s="52" t="s">
        <v>160</v>
      </c>
      <c r="Q106" s="52" t="b">
        <v>0</v>
      </c>
      <c r="R106" s="52">
        <v>46910.862999999998</v>
      </c>
      <c r="S106" s="52" t="b">
        <v>1</v>
      </c>
      <c r="T106" s="52">
        <v>3</v>
      </c>
      <c r="U106" s="52">
        <v>24</v>
      </c>
    </row>
    <row r="107" spans="1:21" x14ac:dyDescent="0.25">
      <c r="A107" s="52">
        <v>21</v>
      </c>
      <c r="B107" s="52" t="s">
        <v>220</v>
      </c>
      <c r="C107" s="52" t="b">
        <v>0</v>
      </c>
      <c r="D107" s="52" t="s">
        <v>200</v>
      </c>
      <c r="E107" s="52" t="s">
        <v>43</v>
      </c>
      <c r="F107" s="52" t="s">
        <v>38</v>
      </c>
      <c r="G107" s="52" t="s">
        <v>12</v>
      </c>
      <c r="H107" s="52" t="s">
        <v>39</v>
      </c>
      <c r="I107" s="52" t="s">
        <v>40</v>
      </c>
      <c r="J107" s="52">
        <v>0</v>
      </c>
      <c r="K107" s="52" t="s">
        <v>160</v>
      </c>
      <c r="L107" s="52" t="s">
        <v>160</v>
      </c>
      <c r="M107" s="52" t="s">
        <v>41</v>
      </c>
      <c r="N107" s="52">
        <v>0</v>
      </c>
      <c r="O107" s="52" t="s">
        <v>160</v>
      </c>
      <c r="P107" s="52" t="s">
        <v>160</v>
      </c>
      <c r="Q107" s="52" t="b">
        <v>0</v>
      </c>
      <c r="R107" s="52">
        <v>69932.437000000005</v>
      </c>
      <c r="S107" s="52" t="b">
        <v>1</v>
      </c>
      <c r="T107" s="52">
        <v>3</v>
      </c>
      <c r="U107" s="52">
        <v>49</v>
      </c>
    </row>
    <row r="108" spans="1:21" x14ac:dyDescent="0.25">
      <c r="A108" s="52">
        <v>21</v>
      </c>
      <c r="B108" s="52" t="s">
        <v>220</v>
      </c>
      <c r="C108" s="52" t="b">
        <v>0</v>
      </c>
      <c r="D108" s="52" t="s">
        <v>200</v>
      </c>
      <c r="E108" s="52" t="s">
        <v>44</v>
      </c>
      <c r="F108" s="52" t="s">
        <v>38</v>
      </c>
      <c r="G108" s="52" t="s">
        <v>14</v>
      </c>
      <c r="H108" s="52" t="s">
        <v>39</v>
      </c>
      <c r="I108" s="52" t="s">
        <v>47</v>
      </c>
      <c r="J108" s="52">
        <v>2.6546372149289255</v>
      </c>
      <c r="K108" s="52" t="s">
        <v>160</v>
      </c>
      <c r="L108" s="52" t="s">
        <v>160</v>
      </c>
      <c r="M108" s="52">
        <v>22.678440144233299</v>
      </c>
      <c r="N108" s="52">
        <v>0.93081282600762694</v>
      </c>
      <c r="O108" s="52">
        <v>22.678440144233299</v>
      </c>
      <c r="P108" s="52" t="s">
        <v>160</v>
      </c>
      <c r="Q108" s="52" t="b">
        <v>0</v>
      </c>
      <c r="R108" s="52">
        <v>47660.913</v>
      </c>
      <c r="S108" s="52" t="b">
        <v>1</v>
      </c>
      <c r="T108" s="52">
        <v>3</v>
      </c>
      <c r="U108" s="52">
        <v>14</v>
      </c>
    </row>
    <row r="109" spans="1:21" x14ac:dyDescent="0.25">
      <c r="A109" s="52">
        <v>21</v>
      </c>
      <c r="B109" s="52" t="s">
        <v>220</v>
      </c>
      <c r="C109" s="52" t="b">
        <v>0</v>
      </c>
      <c r="D109" s="52" t="s">
        <v>200</v>
      </c>
      <c r="E109" s="52" t="s">
        <v>45</v>
      </c>
      <c r="F109" s="52" t="s">
        <v>38</v>
      </c>
      <c r="G109" s="52" t="s">
        <v>10</v>
      </c>
      <c r="H109" s="52" t="s">
        <v>39</v>
      </c>
      <c r="I109" s="52" t="s">
        <v>139</v>
      </c>
      <c r="J109" s="52">
        <v>2.1465693596739635</v>
      </c>
      <c r="K109" s="52" t="s">
        <v>160</v>
      </c>
      <c r="L109" s="52" t="s">
        <v>160</v>
      </c>
      <c r="M109" s="52" t="s">
        <v>41</v>
      </c>
      <c r="N109" s="52">
        <v>0</v>
      </c>
      <c r="O109" s="52" t="s">
        <v>160</v>
      </c>
      <c r="P109" s="52" t="s">
        <v>160</v>
      </c>
      <c r="Q109" s="52" t="b">
        <v>0</v>
      </c>
      <c r="R109" s="52">
        <v>161088.065</v>
      </c>
      <c r="S109" s="52" t="b">
        <v>1</v>
      </c>
      <c r="T109" s="52">
        <v>3</v>
      </c>
      <c r="U109" s="52">
        <v>49</v>
      </c>
    </row>
    <row r="110" spans="1:21" x14ac:dyDescent="0.25">
      <c r="A110" s="52">
        <v>22</v>
      </c>
      <c r="B110" s="52" t="s">
        <v>221</v>
      </c>
      <c r="C110" s="52" t="b">
        <v>0</v>
      </c>
      <c r="D110" s="52" t="s">
        <v>201</v>
      </c>
      <c r="E110" s="52" t="s">
        <v>37</v>
      </c>
      <c r="F110" s="52" t="s">
        <v>38</v>
      </c>
      <c r="G110" s="52" t="s">
        <v>11</v>
      </c>
      <c r="H110" s="52" t="s">
        <v>39</v>
      </c>
      <c r="I110" s="52" t="s">
        <v>47</v>
      </c>
      <c r="J110" s="52">
        <v>2.7360355087667863</v>
      </c>
      <c r="K110" s="52" t="s">
        <v>160</v>
      </c>
      <c r="L110" s="52" t="s">
        <v>160</v>
      </c>
      <c r="M110" s="52">
        <v>31.025138189075584</v>
      </c>
      <c r="N110" s="52">
        <v>0.94448294591613646</v>
      </c>
      <c r="O110" s="52">
        <v>31.025138189075584</v>
      </c>
      <c r="P110" s="52" t="s">
        <v>160</v>
      </c>
      <c r="Q110" s="52" t="b">
        <v>0</v>
      </c>
      <c r="R110" s="52">
        <v>74142.899999999994</v>
      </c>
      <c r="S110" s="52" t="b">
        <v>1</v>
      </c>
      <c r="T110" s="52">
        <v>3</v>
      </c>
      <c r="U110" s="52">
        <v>23</v>
      </c>
    </row>
    <row r="111" spans="1:21" x14ac:dyDescent="0.25">
      <c r="A111" s="52">
        <v>22</v>
      </c>
      <c r="B111" s="52" t="s">
        <v>221</v>
      </c>
      <c r="C111" s="52" t="b">
        <v>0</v>
      </c>
      <c r="D111" s="52" t="s">
        <v>201</v>
      </c>
      <c r="E111" s="52" t="s">
        <v>42</v>
      </c>
      <c r="F111" s="52" t="s">
        <v>38</v>
      </c>
      <c r="G111" s="52" t="s">
        <v>13</v>
      </c>
      <c r="H111" s="52" t="s">
        <v>39</v>
      </c>
      <c r="I111" s="52" t="s">
        <v>47</v>
      </c>
      <c r="J111" s="52">
        <v>2.625771585056826</v>
      </c>
      <c r="K111" s="52" t="s">
        <v>160</v>
      </c>
      <c r="L111" s="52" t="s">
        <v>160</v>
      </c>
      <c r="M111" s="52">
        <v>32.729335739530441</v>
      </c>
      <c r="N111" s="52">
        <v>0.91867228662443245</v>
      </c>
      <c r="O111" s="52">
        <v>32.729335739530441</v>
      </c>
      <c r="P111" s="52" t="s">
        <v>160</v>
      </c>
      <c r="Q111" s="52" t="b">
        <v>0</v>
      </c>
      <c r="R111" s="52">
        <v>46910.862999999998</v>
      </c>
      <c r="S111" s="52" t="b">
        <v>1</v>
      </c>
      <c r="T111" s="52">
        <v>3</v>
      </c>
      <c r="U111" s="52">
        <v>23</v>
      </c>
    </row>
    <row r="112" spans="1:21" x14ac:dyDescent="0.25">
      <c r="A112" s="52">
        <v>22</v>
      </c>
      <c r="B112" s="52" t="s">
        <v>221</v>
      </c>
      <c r="C112" s="52" t="b">
        <v>0</v>
      </c>
      <c r="D112" s="52" t="s">
        <v>201</v>
      </c>
      <c r="E112" s="52" t="s">
        <v>43</v>
      </c>
      <c r="F112" s="52" t="s">
        <v>38</v>
      </c>
      <c r="G112" s="52" t="s">
        <v>12</v>
      </c>
      <c r="H112" s="52" t="s">
        <v>39</v>
      </c>
      <c r="I112" s="52" t="s">
        <v>40</v>
      </c>
      <c r="J112" s="52">
        <v>0</v>
      </c>
      <c r="K112" s="52" t="s">
        <v>160</v>
      </c>
      <c r="L112" s="52" t="s">
        <v>160</v>
      </c>
      <c r="M112" s="52" t="s">
        <v>41</v>
      </c>
      <c r="N112" s="52">
        <v>0</v>
      </c>
      <c r="O112" s="52" t="s">
        <v>160</v>
      </c>
      <c r="P112" s="52" t="s">
        <v>160</v>
      </c>
      <c r="Q112" s="52" t="b">
        <v>0</v>
      </c>
      <c r="R112" s="52">
        <v>69932.437000000005</v>
      </c>
      <c r="S112" s="52" t="b">
        <v>1</v>
      </c>
      <c r="T112" s="52">
        <v>3</v>
      </c>
      <c r="U112" s="52">
        <v>49</v>
      </c>
    </row>
    <row r="113" spans="1:21" x14ac:dyDescent="0.25">
      <c r="A113" s="52">
        <v>22</v>
      </c>
      <c r="B113" s="52" t="s">
        <v>221</v>
      </c>
      <c r="C113" s="52" t="b">
        <v>0</v>
      </c>
      <c r="D113" s="52" t="s">
        <v>201</v>
      </c>
      <c r="E113" s="52" t="s">
        <v>44</v>
      </c>
      <c r="F113" s="52" t="s">
        <v>38</v>
      </c>
      <c r="G113" s="52" t="s">
        <v>14</v>
      </c>
      <c r="H113" s="52" t="s">
        <v>39</v>
      </c>
      <c r="I113" s="52" t="s">
        <v>47</v>
      </c>
      <c r="J113" s="52">
        <v>2.6330567673776661</v>
      </c>
      <c r="K113" s="52" t="s">
        <v>160</v>
      </c>
      <c r="L113" s="52" t="s">
        <v>160</v>
      </c>
      <c r="M113" s="52">
        <v>23.336325353783515</v>
      </c>
      <c r="N113" s="52">
        <v>0.92136174647006819</v>
      </c>
      <c r="O113" s="52">
        <v>23.336325353783515</v>
      </c>
      <c r="P113" s="52" t="s">
        <v>160</v>
      </c>
      <c r="Q113" s="52" t="b">
        <v>0</v>
      </c>
      <c r="R113" s="52">
        <v>47660.913</v>
      </c>
      <c r="S113" s="52" t="b">
        <v>1</v>
      </c>
      <c r="T113" s="52">
        <v>3</v>
      </c>
      <c r="U113" s="52">
        <v>16</v>
      </c>
    </row>
    <row r="114" spans="1:21" x14ac:dyDescent="0.25">
      <c r="A114" s="52">
        <v>22</v>
      </c>
      <c r="B114" s="52" t="s">
        <v>221</v>
      </c>
      <c r="C114" s="52" t="b">
        <v>0</v>
      </c>
      <c r="D114" s="52" t="s">
        <v>201</v>
      </c>
      <c r="E114" s="52" t="s">
        <v>45</v>
      </c>
      <c r="F114" s="52" t="s">
        <v>38</v>
      </c>
      <c r="G114" s="52" t="s">
        <v>10</v>
      </c>
      <c r="H114" s="52" t="s">
        <v>39</v>
      </c>
      <c r="I114" s="52" t="s">
        <v>40</v>
      </c>
      <c r="J114" s="52">
        <v>0</v>
      </c>
      <c r="K114" s="52" t="s">
        <v>160</v>
      </c>
      <c r="L114" s="52" t="s">
        <v>160</v>
      </c>
      <c r="M114" s="52" t="s">
        <v>41</v>
      </c>
      <c r="N114" s="52">
        <v>0</v>
      </c>
      <c r="O114" s="52" t="s">
        <v>160</v>
      </c>
      <c r="P114" s="52" t="s">
        <v>160</v>
      </c>
      <c r="Q114" s="52" t="b">
        <v>0</v>
      </c>
      <c r="R114" s="52">
        <v>161088.065</v>
      </c>
      <c r="S114" s="52" t="b">
        <v>1</v>
      </c>
      <c r="T114" s="52">
        <v>3</v>
      </c>
      <c r="U114" s="52">
        <v>49</v>
      </c>
    </row>
    <row r="115" spans="1:21" x14ac:dyDescent="0.25">
      <c r="A115" s="52">
        <v>24</v>
      </c>
      <c r="B115" s="52" t="s">
        <v>222</v>
      </c>
      <c r="C115" s="52" t="b">
        <v>0</v>
      </c>
      <c r="D115" s="52" t="s">
        <v>196</v>
      </c>
      <c r="E115" s="52" t="s">
        <v>37</v>
      </c>
      <c r="F115" s="52" t="s">
        <v>38</v>
      </c>
      <c r="G115" s="52" t="s">
        <v>11</v>
      </c>
      <c r="H115" s="52" t="s">
        <v>39</v>
      </c>
      <c r="I115" s="52" t="s">
        <v>40</v>
      </c>
      <c r="J115" s="52">
        <v>0</v>
      </c>
      <c r="K115" s="52" t="s">
        <v>160</v>
      </c>
      <c r="L115" s="52" t="s">
        <v>160</v>
      </c>
      <c r="M115" s="52" t="s">
        <v>41</v>
      </c>
      <c r="N115" s="52">
        <v>0</v>
      </c>
      <c r="O115" s="52" t="s">
        <v>160</v>
      </c>
      <c r="P115" s="52" t="s">
        <v>160</v>
      </c>
      <c r="Q115" s="52" t="b">
        <v>0</v>
      </c>
      <c r="R115" s="52">
        <v>74142.899999999994</v>
      </c>
      <c r="S115" s="52" t="b">
        <v>1</v>
      </c>
      <c r="T115" s="52">
        <v>3</v>
      </c>
      <c r="U115" s="52">
        <v>49</v>
      </c>
    </row>
    <row r="116" spans="1:21" x14ac:dyDescent="0.25">
      <c r="A116" s="52">
        <v>24</v>
      </c>
      <c r="B116" s="52" t="s">
        <v>222</v>
      </c>
      <c r="C116" s="52" t="b">
        <v>0</v>
      </c>
      <c r="D116" s="52" t="s">
        <v>196</v>
      </c>
      <c r="E116" s="52" t="s">
        <v>42</v>
      </c>
      <c r="F116" s="52" t="s">
        <v>38</v>
      </c>
      <c r="G116" s="52" t="s">
        <v>13</v>
      </c>
      <c r="H116" s="52" t="s">
        <v>39</v>
      </c>
      <c r="I116" s="52" t="s">
        <v>40</v>
      </c>
      <c r="J116" s="52">
        <v>1.9879527412867324</v>
      </c>
      <c r="K116" s="52" t="s">
        <v>160</v>
      </c>
      <c r="L116" s="52" t="s">
        <v>160</v>
      </c>
      <c r="M116" s="52" t="s">
        <v>41</v>
      </c>
      <c r="N116" s="52">
        <v>0</v>
      </c>
      <c r="O116" s="52" t="s">
        <v>160</v>
      </c>
      <c r="P116" s="52" t="s">
        <v>160</v>
      </c>
      <c r="Q116" s="52" t="b">
        <v>0</v>
      </c>
      <c r="R116" s="52">
        <v>46910.862999999998</v>
      </c>
      <c r="S116" s="52" t="b">
        <v>1</v>
      </c>
      <c r="T116" s="52">
        <v>3</v>
      </c>
      <c r="U116" s="52">
        <v>49</v>
      </c>
    </row>
    <row r="117" spans="1:21" x14ac:dyDescent="0.25">
      <c r="A117" s="52">
        <v>24</v>
      </c>
      <c r="B117" s="52" t="s">
        <v>222</v>
      </c>
      <c r="C117" s="52" t="b">
        <v>0</v>
      </c>
      <c r="D117" s="52" t="s">
        <v>196</v>
      </c>
      <c r="E117" s="52" t="s">
        <v>43</v>
      </c>
      <c r="F117" s="52" t="s">
        <v>38</v>
      </c>
      <c r="G117" s="52" t="s">
        <v>12</v>
      </c>
      <c r="H117" s="52" t="s">
        <v>39</v>
      </c>
      <c r="I117" s="52" t="s">
        <v>40</v>
      </c>
      <c r="J117" s="52">
        <v>0</v>
      </c>
      <c r="K117" s="52" t="s">
        <v>160</v>
      </c>
      <c r="L117" s="52" t="s">
        <v>160</v>
      </c>
      <c r="M117" s="52" t="s">
        <v>41</v>
      </c>
      <c r="N117" s="52">
        <v>0</v>
      </c>
      <c r="O117" s="52" t="s">
        <v>160</v>
      </c>
      <c r="P117" s="52" t="s">
        <v>160</v>
      </c>
      <c r="Q117" s="52" t="b">
        <v>0</v>
      </c>
      <c r="R117" s="52">
        <v>69932.437000000005</v>
      </c>
      <c r="S117" s="52" t="b">
        <v>1</v>
      </c>
      <c r="T117" s="52">
        <v>3</v>
      </c>
      <c r="U117" s="52">
        <v>49</v>
      </c>
    </row>
    <row r="118" spans="1:21" x14ac:dyDescent="0.25">
      <c r="A118" s="52">
        <v>24</v>
      </c>
      <c r="B118" s="52" t="s">
        <v>222</v>
      </c>
      <c r="C118" s="52" t="b">
        <v>0</v>
      </c>
      <c r="D118" s="52" t="s">
        <v>196</v>
      </c>
      <c r="E118" s="52" t="s">
        <v>44</v>
      </c>
      <c r="F118" s="52" t="s">
        <v>38</v>
      </c>
      <c r="G118" s="52" t="s">
        <v>14</v>
      </c>
      <c r="H118" s="52" t="s">
        <v>39</v>
      </c>
      <c r="I118" s="52" t="s">
        <v>40</v>
      </c>
      <c r="J118" s="52">
        <v>0</v>
      </c>
      <c r="K118" s="52" t="s">
        <v>160</v>
      </c>
      <c r="L118" s="52" t="s">
        <v>160</v>
      </c>
      <c r="M118" s="52" t="s">
        <v>41</v>
      </c>
      <c r="N118" s="52">
        <v>0</v>
      </c>
      <c r="O118" s="52" t="s">
        <v>160</v>
      </c>
      <c r="P118" s="52" t="s">
        <v>160</v>
      </c>
      <c r="Q118" s="52" t="b">
        <v>0</v>
      </c>
      <c r="R118" s="52">
        <v>47660.913</v>
      </c>
      <c r="S118" s="52" t="b">
        <v>1</v>
      </c>
      <c r="T118" s="52">
        <v>3</v>
      </c>
      <c r="U118" s="52">
        <v>49</v>
      </c>
    </row>
    <row r="119" spans="1:21" x14ac:dyDescent="0.25">
      <c r="A119" s="52">
        <v>24</v>
      </c>
      <c r="B119" s="52" t="s">
        <v>222</v>
      </c>
      <c r="C119" s="52" t="b">
        <v>0</v>
      </c>
      <c r="D119" s="52" t="s">
        <v>196</v>
      </c>
      <c r="E119" s="52" t="s">
        <v>45</v>
      </c>
      <c r="F119" s="52" t="s">
        <v>38</v>
      </c>
      <c r="G119" s="52" t="s">
        <v>10</v>
      </c>
      <c r="H119" s="52" t="s">
        <v>39</v>
      </c>
      <c r="I119" s="52" t="s">
        <v>40</v>
      </c>
      <c r="J119" s="52">
        <v>2.2644149806047009</v>
      </c>
      <c r="K119" s="52" t="s">
        <v>160</v>
      </c>
      <c r="L119" s="52" t="s">
        <v>160</v>
      </c>
      <c r="M119" s="52" t="s">
        <v>41</v>
      </c>
      <c r="N119" s="52">
        <v>0</v>
      </c>
      <c r="O119" s="52" t="s">
        <v>160</v>
      </c>
      <c r="P119" s="52" t="s">
        <v>160</v>
      </c>
      <c r="Q119" s="52" t="b">
        <v>0</v>
      </c>
      <c r="R119" s="52">
        <v>161088.065</v>
      </c>
      <c r="S119" s="52" t="b">
        <v>1</v>
      </c>
      <c r="T119" s="52">
        <v>3</v>
      </c>
      <c r="U119" s="52">
        <v>49</v>
      </c>
    </row>
    <row r="120" spans="1:21" x14ac:dyDescent="0.25">
      <c r="A120" s="52">
        <v>25</v>
      </c>
      <c r="B120" s="52" t="s">
        <v>51</v>
      </c>
      <c r="C120" s="52" t="b">
        <v>0</v>
      </c>
      <c r="D120" s="52" t="s">
        <v>223</v>
      </c>
      <c r="E120" s="52" t="s">
        <v>37</v>
      </c>
      <c r="F120" s="52" t="s">
        <v>38</v>
      </c>
      <c r="G120" s="52" t="s">
        <v>11</v>
      </c>
      <c r="H120" s="52" t="s">
        <v>39</v>
      </c>
      <c r="I120" s="52" t="s">
        <v>47</v>
      </c>
      <c r="J120" s="52">
        <v>2.5792632262735249</v>
      </c>
      <c r="K120" s="52" t="s">
        <v>160</v>
      </c>
      <c r="L120" s="52" t="s">
        <v>160</v>
      </c>
      <c r="M120" s="52">
        <v>35.503399425157667</v>
      </c>
      <c r="N120" s="52">
        <v>0.9011102702043926</v>
      </c>
      <c r="O120" s="52">
        <v>35.503399425157667</v>
      </c>
      <c r="P120" s="52" t="s">
        <v>160</v>
      </c>
      <c r="Q120" s="52" t="b">
        <v>0</v>
      </c>
      <c r="R120" s="52">
        <v>74142.899999999994</v>
      </c>
      <c r="S120" s="52" t="b">
        <v>1</v>
      </c>
      <c r="T120" s="52">
        <v>3</v>
      </c>
      <c r="U120" s="52">
        <v>26</v>
      </c>
    </row>
    <row r="121" spans="1:21" x14ac:dyDescent="0.25">
      <c r="A121" s="52">
        <v>25</v>
      </c>
      <c r="B121" s="52" t="s">
        <v>51</v>
      </c>
      <c r="C121" s="52" t="b">
        <v>0</v>
      </c>
      <c r="D121" s="52" t="s">
        <v>223</v>
      </c>
      <c r="E121" s="52" t="s">
        <v>42</v>
      </c>
      <c r="F121" s="52" t="s">
        <v>38</v>
      </c>
      <c r="G121" s="52" t="s">
        <v>13</v>
      </c>
      <c r="H121" s="52" t="s">
        <v>39</v>
      </c>
      <c r="I121" s="52" t="s">
        <v>40</v>
      </c>
      <c r="J121" s="52">
        <v>0</v>
      </c>
      <c r="K121" s="52" t="s">
        <v>160</v>
      </c>
      <c r="L121" s="52" t="s">
        <v>160</v>
      </c>
      <c r="M121" s="52" t="s">
        <v>41</v>
      </c>
      <c r="N121" s="52">
        <v>0</v>
      </c>
      <c r="O121" s="52" t="s">
        <v>160</v>
      </c>
      <c r="P121" s="52" t="s">
        <v>160</v>
      </c>
      <c r="Q121" s="52" t="b">
        <v>0</v>
      </c>
      <c r="R121" s="52">
        <v>46910.862999999998</v>
      </c>
      <c r="S121" s="52" t="b">
        <v>1</v>
      </c>
      <c r="T121" s="52">
        <v>3</v>
      </c>
      <c r="U121" s="52">
        <v>49</v>
      </c>
    </row>
    <row r="122" spans="1:21" x14ac:dyDescent="0.25">
      <c r="A122" s="52">
        <v>25</v>
      </c>
      <c r="B122" s="52" t="s">
        <v>51</v>
      </c>
      <c r="C122" s="52" t="b">
        <v>0</v>
      </c>
      <c r="D122" s="52" t="s">
        <v>223</v>
      </c>
      <c r="E122" s="52" t="s">
        <v>43</v>
      </c>
      <c r="F122" s="52" t="s">
        <v>38</v>
      </c>
      <c r="G122" s="52" t="s">
        <v>12</v>
      </c>
      <c r="H122" s="52" t="s">
        <v>39</v>
      </c>
      <c r="I122" s="52" t="s">
        <v>40</v>
      </c>
      <c r="J122" s="52">
        <v>0</v>
      </c>
      <c r="K122" s="52" t="s">
        <v>160</v>
      </c>
      <c r="L122" s="52" t="s">
        <v>160</v>
      </c>
      <c r="M122" s="52" t="s">
        <v>41</v>
      </c>
      <c r="N122" s="52">
        <v>0</v>
      </c>
      <c r="O122" s="52" t="s">
        <v>160</v>
      </c>
      <c r="P122" s="52" t="s">
        <v>160</v>
      </c>
      <c r="Q122" s="52" t="b">
        <v>0</v>
      </c>
      <c r="R122" s="52">
        <v>69932.437000000005</v>
      </c>
      <c r="S122" s="52" t="b">
        <v>1</v>
      </c>
      <c r="T122" s="52">
        <v>3</v>
      </c>
      <c r="U122" s="52">
        <v>49</v>
      </c>
    </row>
    <row r="123" spans="1:21" x14ac:dyDescent="0.25">
      <c r="A123" s="52">
        <v>25</v>
      </c>
      <c r="B123" s="52" t="s">
        <v>51</v>
      </c>
      <c r="C123" s="52" t="b">
        <v>0</v>
      </c>
      <c r="D123" s="52" t="s">
        <v>223</v>
      </c>
      <c r="E123" s="52" t="s">
        <v>44</v>
      </c>
      <c r="F123" s="52" t="s">
        <v>38</v>
      </c>
      <c r="G123" s="52" t="s">
        <v>14</v>
      </c>
      <c r="H123" s="52" t="s">
        <v>39</v>
      </c>
      <c r="I123" s="52" t="s">
        <v>47</v>
      </c>
      <c r="J123" s="52">
        <v>2.5683830917563437</v>
      </c>
      <c r="K123" s="52" t="s">
        <v>160</v>
      </c>
      <c r="L123" s="52" t="s">
        <v>160</v>
      </c>
      <c r="M123" s="52">
        <v>26.621511797304027</v>
      </c>
      <c r="N123" s="52">
        <v>0.96842865963857583</v>
      </c>
      <c r="O123" s="52">
        <v>26.621511797304027</v>
      </c>
      <c r="P123" s="52" t="s">
        <v>160</v>
      </c>
      <c r="Q123" s="52" t="b">
        <v>0</v>
      </c>
      <c r="R123" s="52">
        <v>47660.913</v>
      </c>
      <c r="S123" s="52" t="b">
        <v>1</v>
      </c>
      <c r="T123" s="52">
        <v>3</v>
      </c>
      <c r="U123" s="52">
        <v>18</v>
      </c>
    </row>
    <row r="124" spans="1:21" x14ac:dyDescent="0.25">
      <c r="A124" s="52">
        <v>25</v>
      </c>
      <c r="B124" s="52" t="s">
        <v>51</v>
      </c>
      <c r="C124" s="52" t="b">
        <v>0</v>
      </c>
      <c r="D124" s="52" t="s">
        <v>223</v>
      </c>
      <c r="E124" s="52" t="s">
        <v>45</v>
      </c>
      <c r="F124" s="52" t="s">
        <v>38</v>
      </c>
      <c r="G124" s="52" t="s">
        <v>10</v>
      </c>
      <c r="H124" s="52" t="s">
        <v>39</v>
      </c>
      <c r="I124" s="52" t="s">
        <v>139</v>
      </c>
      <c r="J124" s="52">
        <v>0</v>
      </c>
      <c r="K124" s="52" t="s">
        <v>160</v>
      </c>
      <c r="L124" s="52" t="s">
        <v>160</v>
      </c>
      <c r="M124" s="52" t="s">
        <v>41</v>
      </c>
      <c r="N124" s="52">
        <v>0</v>
      </c>
      <c r="O124" s="52" t="s">
        <v>160</v>
      </c>
      <c r="P124" s="52" t="s">
        <v>160</v>
      </c>
      <c r="Q124" s="52" t="b">
        <v>0</v>
      </c>
      <c r="R124" s="52">
        <v>161088.065</v>
      </c>
      <c r="S124" s="52" t="b">
        <v>1</v>
      </c>
      <c r="T124" s="52">
        <v>3</v>
      </c>
      <c r="U124" s="52">
        <v>49</v>
      </c>
    </row>
    <row r="125" spans="1:21" x14ac:dyDescent="0.25">
      <c r="A125" s="52">
        <v>26</v>
      </c>
      <c r="B125" s="52" t="s">
        <v>52</v>
      </c>
      <c r="C125" s="52" t="b">
        <v>0</v>
      </c>
      <c r="D125" s="52" t="s">
        <v>224</v>
      </c>
      <c r="E125" s="52" t="s">
        <v>37</v>
      </c>
      <c r="F125" s="52" t="s">
        <v>38</v>
      </c>
      <c r="G125" s="52" t="s">
        <v>11</v>
      </c>
      <c r="H125" s="52" t="s">
        <v>39</v>
      </c>
      <c r="I125" s="52" t="s">
        <v>47</v>
      </c>
      <c r="J125" s="52">
        <v>2.5640171879818072</v>
      </c>
      <c r="K125" s="52" t="s">
        <v>160</v>
      </c>
      <c r="L125" s="52" t="s">
        <v>160</v>
      </c>
      <c r="M125" s="52">
        <v>35.14467167590675</v>
      </c>
      <c r="N125" s="52">
        <v>0.93278042227063618</v>
      </c>
      <c r="O125" s="52">
        <v>35.14467167590675</v>
      </c>
      <c r="P125" s="52" t="s">
        <v>160</v>
      </c>
      <c r="Q125" s="52" t="b">
        <v>0</v>
      </c>
      <c r="R125" s="52">
        <v>74142.899999999994</v>
      </c>
      <c r="S125" s="52" t="b">
        <v>1</v>
      </c>
      <c r="T125" s="52">
        <v>3</v>
      </c>
      <c r="U125" s="52">
        <v>24</v>
      </c>
    </row>
    <row r="126" spans="1:21" x14ac:dyDescent="0.25">
      <c r="A126" s="52">
        <v>26</v>
      </c>
      <c r="B126" s="52" t="s">
        <v>52</v>
      </c>
      <c r="C126" s="52" t="b">
        <v>0</v>
      </c>
      <c r="D126" s="52" t="s">
        <v>224</v>
      </c>
      <c r="E126" s="52" t="s">
        <v>42</v>
      </c>
      <c r="F126" s="52" t="s">
        <v>38</v>
      </c>
      <c r="G126" s="52" t="s">
        <v>13</v>
      </c>
      <c r="H126" s="52" t="s">
        <v>39</v>
      </c>
      <c r="I126" s="52" t="s">
        <v>47</v>
      </c>
      <c r="J126" s="52">
        <v>2.2557749977844495</v>
      </c>
      <c r="K126" s="52" t="s">
        <v>160</v>
      </c>
      <c r="L126" s="52" t="s">
        <v>160</v>
      </c>
      <c r="M126" s="52">
        <v>40.666512316997682</v>
      </c>
      <c r="N126" s="52">
        <v>0.74026761350115466</v>
      </c>
      <c r="O126" s="52">
        <v>40.666512316997682</v>
      </c>
      <c r="P126" s="52" t="s">
        <v>160</v>
      </c>
      <c r="Q126" s="52" t="b">
        <v>0</v>
      </c>
      <c r="R126" s="52">
        <v>46910.862999999998</v>
      </c>
      <c r="S126" s="52" t="b">
        <v>1</v>
      </c>
      <c r="T126" s="52">
        <v>3</v>
      </c>
      <c r="U126" s="52">
        <v>28</v>
      </c>
    </row>
    <row r="127" spans="1:21" x14ac:dyDescent="0.25">
      <c r="A127" s="52">
        <v>26</v>
      </c>
      <c r="B127" s="52" t="s">
        <v>52</v>
      </c>
      <c r="C127" s="52" t="b">
        <v>0</v>
      </c>
      <c r="D127" s="52" t="s">
        <v>224</v>
      </c>
      <c r="E127" s="52" t="s">
        <v>43</v>
      </c>
      <c r="F127" s="52" t="s">
        <v>38</v>
      </c>
      <c r="G127" s="52" t="s">
        <v>12</v>
      </c>
      <c r="H127" s="52" t="s">
        <v>39</v>
      </c>
      <c r="I127" s="52" t="s">
        <v>40</v>
      </c>
      <c r="J127" s="52">
        <v>0</v>
      </c>
      <c r="K127" s="52" t="s">
        <v>160</v>
      </c>
      <c r="L127" s="52" t="s">
        <v>160</v>
      </c>
      <c r="M127" s="52" t="s">
        <v>41</v>
      </c>
      <c r="N127" s="52">
        <v>0</v>
      </c>
      <c r="O127" s="52" t="s">
        <v>160</v>
      </c>
      <c r="P127" s="52" t="s">
        <v>160</v>
      </c>
      <c r="Q127" s="52" t="b">
        <v>0</v>
      </c>
      <c r="R127" s="52">
        <v>69932.437000000005</v>
      </c>
      <c r="S127" s="52" t="b">
        <v>1</v>
      </c>
      <c r="T127" s="52">
        <v>3</v>
      </c>
      <c r="U127" s="52">
        <v>49</v>
      </c>
    </row>
    <row r="128" spans="1:21" x14ac:dyDescent="0.25">
      <c r="A128" s="52">
        <v>26</v>
      </c>
      <c r="B128" s="52" t="s">
        <v>52</v>
      </c>
      <c r="C128" s="52" t="b">
        <v>0</v>
      </c>
      <c r="D128" s="52" t="s">
        <v>224</v>
      </c>
      <c r="E128" s="52" t="s">
        <v>44</v>
      </c>
      <c r="F128" s="52" t="s">
        <v>38</v>
      </c>
      <c r="G128" s="52" t="s">
        <v>14</v>
      </c>
      <c r="H128" s="52" t="s">
        <v>39</v>
      </c>
      <c r="I128" s="52" t="s">
        <v>47</v>
      </c>
      <c r="J128" s="52">
        <v>2.5716667359314127</v>
      </c>
      <c r="K128" s="52" t="s">
        <v>160</v>
      </c>
      <c r="L128" s="52" t="s">
        <v>160</v>
      </c>
      <c r="M128" s="52">
        <v>26.958521828611779</v>
      </c>
      <c r="N128" s="52">
        <v>0.95773252605461368</v>
      </c>
      <c r="O128" s="52">
        <v>26.958521828611779</v>
      </c>
      <c r="P128" s="52" t="s">
        <v>160</v>
      </c>
      <c r="Q128" s="52" t="b">
        <v>0</v>
      </c>
      <c r="R128" s="52">
        <v>47660.913</v>
      </c>
      <c r="S128" s="52" t="b">
        <v>1</v>
      </c>
      <c r="T128" s="52">
        <v>3</v>
      </c>
      <c r="U128" s="52">
        <v>18</v>
      </c>
    </row>
    <row r="129" spans="1:21" x14ac:dyDescent="0.25">
      <c r="A129" s="52">
        <v>26</v>
      </c>
      <c r="B129" s="52" t="s">
        <v>52</v>
      </c>
      <c r="C129" s="52" t="b">
        <v>0</v>
      </c>
      <c r="D129" s="52" t="s">
        <v>224</v>
      </c>
      <c r="E129" s="52" t="s">
        <v>45</v>
      </c>
      <c r="F129" s="52" t="s">
        <v>38</v>
      </c>
      <c r="G129" s="52" t="s">
        <v>10</v>
      </c>
      <c r="H129" s="52" t="s">
        <v>39</v>
      </c>
      <c r="I129" s="52" t="s">
        <v>139</v>
      </c>
      <c r="J129" s="52">
        <v>0</v>
      </c>
      <c r="K129" s="52" t="s">
        <v>160</v>
      </c>
      <c r="L129" s="52" t="s">
        <v>160</v>
      </c>
      <c r="M129" s="52" t="s">
        <v>41</v>
      </c>
      <c r="N129" s="52">
        <v>0</v>
      </c>
      <c r="O129" s="52" t="s">
        <v>160</v>
      </c>
      <c r="P129" s="52" t="s">
        <v>160</v>
      </c>
      <c r="Q129" s="52" t="b">
        <v>0</v>
      </c>
      <c r="R129" s="52">
        <v>161088.065</v>
      </c>
      <c r="S129" s="52" t="b">
        <v>1</v>
      </c>
      <c r="T129" s="52">
        <v>3</v>
      </c>
      <c r="U129" s="52">
        <v>49</v>
      </c>
    </row>
    <row r="130" spans="1:21" x14ac:dyDescent="0.25">
      <c r="A130" s="52">
        <v>27</v>
      </c>
      <c r="B130" s="52" t="s">
        <v>53</v>
      </c>
      <c r="C130" s="52" t="b">
        <v>0</v>
      </c>
      <c r="D130" s="52" t="s">
        <v>225</v>
      </c>
      <c r="E130" s="52" t="s">
        <v>37</v>
      </c>
      <c r="F130" s="52" t="s">
        <v>38</v>
      </c>
      <c r="G130" s="52" t="s">
        <v>11</v>
      </c>
      <c r="H130" s="52" t="s">
        <v>39</v>
      </c>
      <c r="I130" s="52" t="s">
        <v>47</v>
      </c>
      <c r="J130" s="52">
        <v>2.7198548870303347</v>
      </c>
      <c r="K130" s="52" t="s">
        <v>160</v>
      </c>
      <c r="L130" s="52" t="s">
        <v>160</v>
      </c>
      <c r="M130" s="52">
        <v>29.945086807279246</v>
      </c>
      <c r="N130" s="52">
        <v>0.96577793140375023</v>
      </c>
      <c r="O130" s="52">
        <v>29.945086807279246</v>
      </c>
      <c r="P130" s="52" t="s">
        <v>160</v>
      </c>
      <c r="Q130" s="52" t="b">
        <v>0</v>
      </c>
      <c r="R130" s="52">
        <v>74142.899999999994</v>
      </c>
      <c r="S130" s="52" t="b">
        <v>1</v>
      </c>
      <c r="T130" s="52">
        <v>3</v>
      </c>
      <c r="U130" s="52">
        <v>22</v>
      </c>
    </row>
    <row r="131" spans="1:21" x14ac:dyDescent="0.25">
      <c r="A131" s="52">
        <v>27</v>
      </c>
      <c r="B131" s="52" t="s">
        <v>53</v>
      </c>
      <c r="C131" s="52" t="b">
        <v>0</v>
      </c>
      <c r="D131" s="52" t="s">
        <v>225</v>
      </c>
      <c r="E131" s="52" t="s">
        <v>42</v>
      </c>
      <c r="F131" s="52" t="s">
        <v>38</v>
      </c>
      <c r="G131" s="52" t="s">
        <v>13</v>
      </c>
      <c r="H131" s="52" t="s">
        <v>39</v>
      </c>
      <c r="I131" s="52" t="s">
        <v>47</v>
      </c>
      <c r="J131" s="52">
        <v>2.609351431384086</v>
      </c>
      <c r="K131" s="52" t="s">
        <v>160</v>
      </c>
      <c r="L131" s="52" t="s">
        <v>160</v>
      </c>
      <c r="M131" s="52">
        <v>33.122380189446091</v>
      </c>
      <c r="N131" s="52">
        <v>0.86434635917854474</v>
      </c>
      <c r="O131" s="52">
        <v>33.122380189446091</v>
      </c>
      <c r="P131" s="52" t="s">
        <v>160</v>
      </c>
      <c r="Q131" s="52" t="b">
        <v>0</v>
      </c>
      <c r="R131" s="52">
        <v>46910.862999999998</v>
      </c>
      <c r="S131" s="52" t="b">
        <v>1</v>
      </c>
      <c r="T131" s="52">
        <v>3</v>
      </c>
      <c r="U131" s="52">
        <v>24</v>
      </c>
    </row>
    <row r="132" spans="1:21" x14ac:dyDescent="0.25">
      <c r="A132" s="52">
        <v>27</v>
      </c>
      <c r="B132" s="52" t="s">
        <v>53</v>
      </c>
      <c r="C132" s="52" t="b">
        <v>0</v>
      </c>
      <c r="D132" s="52" t="s">
        <v>225</v>
      </c>
      <c r="E132" s="52" t="s">
        <v>43</v>
      </c>
      <c r="F132" s="52" t="s">
        <v>38</v>
      </c>
      <c r="G132" s="52" t="s">
        <v>12</v>
      </c>
      <c r="H132" s="52" t="s">
        <v>39</v>
      </c>
      <c r="I132" s="52" t="s">
        <v>139</v>
      </c>
      <c r="J132" s="52">
        <v>0</v>
      </c>
      <c r="K132" s="52" t="s">
        <v>160</v>
      </c>
      <c r="L132" s="52" t="s">
        <v>160</v>
      </c>
      <c r="M132" s="52" t="s">
        <v>41</v>
      </c>
      <c r="N132" s="52">
        <v>0</v>
      </c>
      <c r="O132" s="52" t="s">
        <v>160</v>
      </c>
      <c r="P132" s="52" t="s">
        <v>160</v>
      </c>
      <c r="Q132" s="52" t="b">
        <v>0</v>
      </c>
      <c r="R132" s="52">
        <v>69932.437000000005</v>
      </c>
      <c r="S132" s="52" t="b">
        <v>1</v>
      </c>
      <c r="T132" s="52">
        <v>3</v>
      </c>
      <c r="U132" s="52">
        <v>49</v>
      </c>
    </row>
    <row r="133" spans="1:21" x14ac:dyDescent="0.25">
      <c r="A133" s="52">
        <v>27</v>
      </c>
      <c r="B133" s="52" t="s">
        <v>53</v>
      </c>
      <c r="C133" s="52" t="b">
        <v>0</v>
      </c>
      <c r="D133" s="52" t="s">
        <v>225</v>
      </c>
      <c r="E133" s="52" t="s">
        <v>44</v>
      </c>
      <c r="F133" s="52" t="s">
        <v>38</v>
      </c>
      <c r="G133" s="52" t="s">
        <v>14</v>
      </c>
      <c r="H133" s="52" t="s">
        <v>39</v>
      </c>
      <c r="I133" s="52" t="s">
        <v>47</v>
      </c>
      <c r="J133" s="52">
        <v>2.6190919582065706</v>
      </c>
      <c r="K133" s="52" t="s">
        <v>160</v>
      </c>
      <c r="L133" s="52" t="s">
        <v>160</v>
      </c>
      <c r="M133" s="52">
        <v>25.943404544095216</v>
      </c>
      <c r="N133" s="52">
        <v>0.96928837890535091</v>
      </c>
      <c r="O133" s="52">
        <v>25.943404544095216</v>
      </c>
      <c r="P133" s="52" t="s">
        <v>160</v>
      </c>
      <c r="Q133" s="52" t="b">
        <v>0</v>
      </c>
      <c r="R133" s="52">
        <v>47660.913</v>
      </c>
      <c r="S133" s="52" t="b">
        <v>1</v>
      </c>
      <c r="T133" s="52">
        <v>3</v>
      </c>
      <c r="U133" s="52">
        <v>17</v>
      </c>
    </row>
    <row r="134" spans="1:21" x14ac:dyDescent="0.25">
      <c r="A134" s="52">
        <v>27</v>
      </c>
      <c r="B134" s="52" t="s">
        <v>53</v>
      </c>
      <c r="C134" s="52" t="b">
        <v>0</v>
      </c>
      <c r="D134" s="52" t="s">
        <v>225</v>
      </c>
      <c r="E134" s="52" t="s">
        <v>45</v>
      </c>
      <c r="F134" s="52" t="s">
        <v>38</v>
      </c>
      <c r="G134" s="52" t="s">
        <v>10</v>
      </c>
      <c r="H134" s="52" t="s">
        <v>39</v>
      </c>
      <c r="I134" s="52" t="s">
        <v>139</v>
      </c>
      <c r="J134" s="52">
        <v>0</v>
      </c>
      <c r="K134" s="52" t="s">
        <v>160</v>
      </c>
      <c r="L134" s="52" t="s">
        <v>160</v>
      </c>
      <c r="M134" s="52" t="s">
        <v>41</v>
      </c>
      <c r="N134" s="52">
        <v>0</v>
      </c>
      <c r="O134" s="52" t="s">
        <v>160</v>
      </c>
      <c r="P134" s="52" t="s">
        <v>160</v>
      </c>
      <c r="Q134" s="52" t="b">
        <v>0</v>
      </c>
      <c r="R134" s="52">
        <v>161088.065</v>
      </c>
      <c r="S134" s="52" t="b">
        <v>1</v>
      </c>
      <c r="T134" s="52">
        <v>3</v>
      </c>
      <c r="U134" s="52">
        <v>49</v>
      </c>
    </row>
    <row r="135" spans="1:21" x14ac:dyDescent="0.25">
      <c r="A135" s="52">
        <v>28</v>
      </c>
      <c r="B135" s="52" t="s">
        <v>54</v>
      </c>
      <c r="C135" s="52" t="b">
        <v>0</v>
      </c>
      <c r="D135" s="52" t="s">
        <v>226</v>
      </c>
      <c r="E135" s="52" t="s">
        <v>37</v>
      </c>
      <c r="F135" s="52" t="s">
        <v>38</v>
      </c>
      <c r="G135" s="52" t="s">
        <v>11</v>
      </c>
      <c r="H135" s="52" t="s">
        <v>39</v>
      </c>
      <c r="I135" s="52" t="s">
        <v>47</v>
      </c>
      <c r="J135" s="52">
        <v>2.6455271419079525</v>
      </c>
      <c r="K135" s="52" t="s">
        <v>160</v>
      </c>
      <c r="L135" s="52" t="s">
        <v>160</v>
      </c>
      <c r="M135" s="52">
        <v>32.870416345143965</v>
      </c>
      <c r="N135" s="52">
        <v>0.90201799712434894</v>
      </c>
      <c r="O135" s="52">
        <v>32.870416345143965</v>
      </c>
      <c r="P135" s="52" t="s">
        <v>160</v>
      </c>
      <c r="Q135" s="52" t="b">
        <v>0</v>
      </c>
      <c r="R135" s="52">
        <v>74142.899999999994</v>
      </c>
      <c r="S135" s="52" t="b">
        <v>1</v>
      </c>
      <c r="T135" s="52">
        <v>3</v>
      </c>
      <c r="U135" s="52">
        <v>23</v>
      </c>
    </row>
    <row r="136" spans="1:21" x14ac:dyDescent="0.25">
      <c r="A136" s="52">
        <v>28</v>
      </c>
      <c r="B136" s="52" t="s">
        <v>54</v>
      </c>
      <c r="C136" s="52" t="b">
        <v>0</v>
      </c>
      <c r="D136" s="52" t="s">
        <v>226</v>
      </c>
      <c r="E136" s="52" t="s">
        <v>42</v>
      </c>
      <c r="F136" s="52" t="s">
        <v>38</v>
      </c>
      <c r="G136" s="52" t="s">
        <v>13</v>
      </c>
      <c r="H136" s="52" t="s">
        <v>39</v>
      </c>
      <c r="I136" s="52" t="s">
        <v>47</v>
      </c>
      <c r="J136" s="52">
        <v>2.249707352101078</v>
      </c>
      <c r="K136" s="52" t="s">
        <v>160</v>
      </c>
      <c r="L136" s="52" t="s">
        <v>160</v>
      </c>
      <c r="M136" s="52">
        <v>40.034603635155563</v>
      </c>
      <c r="N136" s="52">
        <v>0.52888375319388903</v>
      </c>
      <c r="O136" s="52">
        <v>40.034603635155563</v>
      </c>
      <c r="P136" s="52" t="s">
        <v>160</v>
      </c>
      <c r="Q136" s="52" t="b">
        <v>0</v>
      </c>
      <c r="R136" s="52">
        <v>46910.862999999998</v>
      </c>
      <c r="S136" s="52" t="b">
        <v>1</v>
      </c>
      <c r="T136" s="52">
        <v>3</v>
      </c>
      <c r="U136" s="52">
        <v>29</v>
      </c>
    </row>
    <row r="137" spans="1:21" x14ac:dyDescent="0.25">
      <c r="A137" s="52">
        <v>28</v>
      </c>
      <c r="B137" s="52" t="s">
        <v>54</v>
      </c>
      <c r="C137" s="52" t="b">
        <v>0</v>
      </c>
      <c r="D137" s="52" t="s">
        <v>226</v>
      </c>
      <c r="E137" s="52" t="s">
        <v>43</v>
      </c>
      <c r="F137" s="52" t="s">
        <v>38</v>
      </c>
      <c r="G137" s="52" t="s">
        <v>12</v>
      </c>
      <c r="H137" s="52" t="s">
        <v>39</v>
      </c>
      <c r="I137" s="52" t="s">
        <v>139</v>
      </c>
      <c r="J137" s="52">
        <v>1.8421027812325601</v>
      </c>
      <c r="K137" s="52" t="s">
        <v>160</v>
      </c>
      <c r="L137" s="52" t="s">
        <v>160</v>
      </c>
      <c r="M137" s="52" t="s">
        <v>41</v>
      </c>
      <c r="N137" s="52">
        <v>0</v>
      </c>
      <c r="O137" s="52" t="s">
        <v>160</v>
      </c>
      <c r="P137" s="52" t="s">
        <v>160</v>
      </c>
      <c r="Q137" s="52" t="b">
        <v>0</v>
      </c>
      <c r="R137" s="52">
        <v>69932.437000000005</v>
      </c>
      <c r="S137" s="52" t="b">
        <v>1</v>
      </c>
      <c r="T137" s="52">
        <v>3</v>
      </c>
      <c r="U137" s="52">
        <v>49</v>
      </c>
    </row>
    <row r="138" spans="1:21" x14ac:dyDescent="0.25">
      <c r="A138" s="52">
        <v>28</v>
      </c>
      <c r="B138" s="52" t="s">
        <v>54</v>
      </c>
      <c r="C138" s="52" t="b">
        <v>0</v>
      </c>
      <c r="D138" s="52" t="s">
        <v>226</v>
      </c>
      <c r="E138" s="52" t="s">
        <v>44</v>
      </c>
      <c r="F138" s="52" t="s">
        <v>38</v>
      </c>
      <c r="G138" s="52" t="s">
        <v>14</v>
      </c>
      <c r="H138" s="52" t="s">
        <v>39</v>
      </c>
      <c r="I138" s="52" t="s">
        <v>47</v>
      </c>
      <c r="J138" s="52">
        <v>2.6396856583895421</v>
      </c>
      <c r="K138" s="52" t="s">
        <v>160</v>
      </c>
      <c r="L138" s="52" t="s">
        <v>160</v>
      </c>
      <c r="M138" s="52">
        <v>25.638818615277607</v>
      </c>
      <c r="N138" s="52">
        <v>0.92663119628433355</v>
      </c>
      <c r="O138" s="52">
        <v>25.638818615277607</v>
      </c>
      <c r="P138" s="52" t="s">
        <v>160</v>
      </c>
      <c r="Q138" s="52" t="b">
        <v>0</v>
      </c>
      <c r="R138" s="52">
        <v>47660.913</v>
      </c>
      <c r="S138" s="52" t="b">
        <v>1</v>
      </c>
      <c r="T138" s="52">
        <v>3</v>
      </c>
      <c r="U138" s="52">
        <v>18</v>
      </c>
    </row>
    <row r="139" spans="1:21" x14ac:dyDescent="0.25">
      <c r="A139" s="52">
        <v>28</v>
      </c>
      <c r="B139" s="52" t="s">
        <v>54</v>
      </c>
      <c r="C139" s="52" t="b">
        <v>0</v>
      </c>
      <c r="D139" s="52" t="s">
        <v>226</v>
      </c>
      <c r="E139" s="52" t="s">
        <v>45</v>
      </c>
      <c r="F139" s="52" t="s">
        <v>38</v>
      </c>
      <c r="G139" s="52" t="s">
        <v>10</v>
      </c>
      <c r="H139" s="52" t="s">
        <v>39</v>
      </c>
      <c r="I139" s="52" t="s">
        <v>139</v>
      </c>
      <c r="J139" s="52">
        <v>0</v>
      </c>
      <c r="K139" s="52" t="s">
        <v>160</v>
      </c>
      <c r="L139" s="52" t="s">
        <v>160</v>
      </c>
      <c r="M139" s="52" t="s">
        <v>41</v>
      </c>
      <c r="N139" s="52">
        <v>0</v>
      </c>
      <c r="O139" s="52" t="s">
        <v>160</v>
      </c>
      <c r="P139" s="52" t="s">
        <v>160</v>
      </c>
      <c r="Q139" s="52" t="b">
        <v>0</v>
      </c>
      <c r="R139" s="52">
        <v>161088.065</v>
      </c>
      <c r="S139" s="52" t="b">
        <v>1</v>
      </c>
      <c r="T139" s="52">
        <v>3</v>
      </c>
      <c r="U139" s="52">
        <v>49</v>
      </c>
    </row>
    <row r="140" spans="1:21" x14ac:dyDescent="0.25">
      <c r="A140" s="52">
        <v>29</v>
      </c>
      <c r="B140" s="52" t="s">
        <v>55</v>
      </c>
      <c r="C140" s="52" t="b">
        <v>0</v>
      </c>
      <c r="D140" s="52" t="s">
        <v>227</v>
      </c>
      <c r="E140" s="52" t="s">
        <v>37</v>
      </c>
      <c r="F140" s="52" t="s">
        <v>38</v>
      </c>
      <c r="G140" s="52" t="s">
        <v>11</v>
      </c>
      <c r="H140" s="52" t="s">
        <v>39</v>
      </c>
      <c r="I140" s="52" t="s">
        <v>47</v>
      </c>
      <c r="J140" s="52">
        <v>2.6130140741243073</v>
      </c>
      <c r="K140" s="52" t="s">
        <v>160</v>
      </c>
      <c r="L140" s="52" t="s">
        <v>160</v>
      </c>
      <c r="M140" s="52">
        <v>34.179692642400674</v>
      </c>
      <c r="N140" s="52">
        <v>0.86232530007640695</v>
      </c>
      <c r="O140" s="52">
        <v>34.179692642400674</v>
      </c>
      <c r="P140" s="52" t="s">
        <v>160</v>
      </c>
      <c r="Q140" s="52" t="b">
        <v>0</v>
      </c>
      <c r="R140" s="52">
        <v>74142.899999999994</v>
      </c>
      <c r="S140" s="52" t="b">
        <v>1</v>
      </c>
      <c r="T140" s="52">
        <v>3</v>
      </c>
      <c r="U140" s="52">
        <v>23</v>
      </c>
    </row>
    <row r="141" spans="1:21" x14ac:dyDescent="0.25">
      <c r="A141" s="52">
        <v>29</v>
      </c>
      <c r="B141" s="52" t="s">
        <v>55</v>
      </c>
      <c r="C141" s="52" t="b">
        <v>0</v>
      </c>
      <c r="D141" s="52" t="s">
        <v>227</v>
      </c>
      <c r="E141" s="52" t="s">
        <v>42</v>
      </c>
      <c r="F141" s="52" t="s">
        <v>38</v>
      </c>
      <c r="G141" s="52" t="s">
        <v>13</v>
      </c>
      <c r="H141" s="52" t="s">
        <v>39</v>
      </c>
      <c r="I141" s="52" t="s">
        <v>47</v>
      </c>
      <c r="J141" s="52">
        <v>2.3024860965047313</v>
      </c>
      <c r="K141" s="52" t="s">
        <v>160</v>
      </c>
      <c r="L141" s="52" t="s">
        <v>160</v>
      </c>
      <c r="M141" s="52">
        <v>38.692705855431626</v>
      </c>
      <c r="N141" s="52">
        <v>0.65749898972668674</v>
      </c>
      <c r="O141" s="52">
        <v>38.692705855431626</v>
      </c>
      <c r="P141" s="52" t="s">
        <v>160</v>
      </c>
      <c r="Q141" s="52" t="b">
        <v>0</v>
      </c>
      <c r="R141" s="52">
        <v>46910.862999999998</v>
      </c>
      <c r="S141" s="52" t="b">
        <v>1</v>
      </c>
      <c r="T141" s="52">
        <v>3</v>
      </c>
      <c r="U141" s="52">
        <v>32</v>
      </c>
    </row>
    <row r="142" spans="1:21" x14ac:dyDescent="0.25">
      <c r="A142" s="52">
        <v>29</v>
      </c>
      <c r="B142" s="52" t="s">
        <v>55</v>
      </c>
      <c r="C142" s="52" t="b">
        <v>0</v>
      </c>
      <c r="D142" s="52" t="s">
        <v>227</v>
      </c>
      <c r="E142" s="52" t="s">
        <v>43</v>
      </c>
      <c r="F142" s="52" t="s">
        <v>38</v>
      </c>
      <c r="G142" s="52" t="s">
        <v>12</v>
      </c>
      <c r="H142" s="52" t="s">
        <v>39</v>
      </c>
      <c r="I142" s="52" t="s">
        <v>40</v>
      </c>
      <c r="J142" s="52">
        <v>0</v>
      </c>
      <c r="K142" s="52" t="s">
        <v>160</v>
      </c>
      <c r="L142" s="52" t="s">
        <v>160</v>
      </c>
      <c r="M142" s="52" t="s">
        <v>41</v>
      </c>
      <c r="N142" s="52">
        <v>0</v>
      </c>
      <c r="O142" s="52" t="s">
        <v>160</v>
      </c>
      <c r="P142" s="52" t="s">
        <v>160</v>
      </c>
      <c r="Q142" s="52" t="b">
        <v>0</v>
      </c>
      <c r="R142" s="52">
        <v>69932.437000000005</v>
      </c>
      <c r="S142" s="52" t="b">
        <v>1</v>
      </c>
      <c r="T142" s="52">
        <v>3</v>
      </c>
      <c r="U142" s="52">
        <v>49</v>
      </c>
    </row>
    <row r="143" spans="1:21" x14ac:dyDescent="0.25">
      <c r="A143" s="52">
        <v>29</v>
      </c>
      <c r="B143" s="52" t="s">
        <v>55</v>
      </c>
      <c r="C143" s="52" t="b">
        <v>0</v>
      </c>
      <c r="D143" s="52" t="s">
        <v>227</v>
      </c>
      <c r="E143" s="52" t="s">
        <v>44</v>
      </c>
      <c r="F143" s="52" t="s">
        <v>38</v>
      </c>
      <c r="G143" s="52" t="s">
        <v>14</v>
      </c>
      <c r="H143" s="52" t="s">
        <v>39</v>
      </c>
      <c r="I143" s="52" t="s">
        <v>47</v>
      </c>
      <c r="J143" s="52">
        <v>2.6654412842137196</v>
      </c>
      <c r="K143" s="52" t="s">
        <v>160</v>
      </c>
      <c r="L143" s="52" t="s">
        <v>160</v>
      </c>
      <c r="M143" s="52">
        <v>25.436696312125143</v>
      </c>
      <c r="N143" s="52">
        <v>0.87127287964284494</v>
      </c>
      <c r="O143" s="52">
        <v>25.436696312125143</v>
      </c>
      <c r="P143" s="52" t="s">
        <v>160</v>
      </c>
      <c r="Q143" s="52" t="b">
        <v>0</v>
      </c>
      <c r="R143" s="52">
        <v>47660.913</v>
      </c>
      <c r="S143" s="52" t="b">
        <v>1</v>
      </c>
      <c r="T143" s="52">
        <v>3</v>
      </c>
      <c r="U143" s="52">
        <v>17</v>
      </c>
    </row>
    <row r="144" spans="1:21" x14ac:dyDescent="0.25">
      <c r="A144" s="52">
        <v>29</v>
      </c>
      <c r="B144" s="52" t="s">
        <v>55</v>
      </c>
      <c r="C144" s="52" t="b">
        <v>0</v>
      </c>
      <c r="D144" s="52" t="s">
        <v>227</v>
      </c>
      <c r="E144" s="52" t="s">
        <v>45</v>
      </c>
      <c r="F144" s="52" t="s">
        <v>38</v>
      </c>
      <c r="G144" s="52" t="s">
        <v>10</v>
      </c>
      <c r="H144" s="52" t="s">
        <v>39</v>
      </c>
      <c r="I144" s="52" t="s">
        <v>40</v>
      </c>
      <c r="J144" s="52">
        <v>0</v>
      </c>
      <c r="K144" s="52" t="s">
        <v>160</v>
      </c>
      <c r="L144" s="52" t="s">
        <v>160</v>
      </c>
      <c r="M144" s="52" t="s">
        <v>41</v>
      </c>
      <c r="N144" s="52">
        <v>0</v>
      </c>
      <c r="O144" s="52" t="s">
        <v>160</v>
      </c>
      <c r="P144" s="52" t="s">
        <v>160</v>
      </c>
      <c r="Q144" s="52" t="b">
        <v>0</v>
      </c>
      <c r="R144" s="52">
        <v>161088.065</v>
      </c>
      <c r="S144" s="52" t="b">
        <v>1</v>
      </c>
      <c r="T144" s="52">
        <v>3</v>
      </c>
      <c r="U144" s="52">
        <v>49</v>
      </c>
    </row>
    <row r="145" spans="1:21" x14ac:dyDescent="0.25">
      <c r="A145" s="52">
        <v>30</v>
      </c>
      <c r="B145" s="52" t="s">
        <v>228</v>
      </c>
      <c r="C145" s="52" t="b">
        <v>0</v>
      </c>
      <c r="D145" s="52" t="s">
        <v>229</v>
      </c>
      <c r="E145" s="52" t="s">
        <v>37</v>
      </c>
      <c r="F145" s="52" t="s">
        <v>38</v>
      </c>
      <c r="G145" s="52" t="s">
        <v>11</v>
      </c>
      <c r="H145" s="52" t="s">
        <v>39</v>
      </c>
      <c r="I145" s="52" t="s">
        <v>47</v>
      </c>
      <c r="J145" s="52">
        <v>0</v>
      </c>
      <c r="K145" s="52" t="s">
        <v>160</v>
      </c>
      <c r="L145" s="52" t="s">
        <v>160</v>
      </c>
      <c r="M145" s="52">
        <v>25.671543928674801</v>
      </c>
      <c r="N145" s="52">
        <v>0.95597033342612547</v>
      </c>
      <c r="O145" s="52">
        <v>25.671543928674801</v>
      </c>
      <c r="P145" s="52" t="s">
        <v>160</v>
      </c>
      <c r="Q145" s="52" t="b">
        <v>0</v>
      </c>
      <c r="R145" s="52">
        <v>74142.899999999994</v>
      </c>
      <c r="S145" s="52" t="b">
        <v>1</v>
      </c>
      <c r="T145" s="52">
        <v>3</v>
      </c>
      <c r="U145" s="52">
        <v>14</v>
      </c>
    </row>
    <row r="146" spans="1:21" x14ac:dyDescent="0.25">
      <c r="A146" s="52">
        <v>30</v>
      </c>
      <c r="B146" s="52" t="s">
        <v>228</v>
      </c>
      <c r="C146" s="52" t="b">
        <v>0</v>
      </c>
      <c r="D146" s="52" t="s">
        <v>229</v>
      </c>
      <c r="E146" s="52" t="s">
        <v>42</v>
      </c>
      <c r="F146" s="52" t="s">
        <v>38</v>
      </c>
      <c r="G146" s="52" t="s">
        <v>13</v>
      </c>
      <c r="H146" s="52" t="s">
        <v>39</v>
      </c>
      <c r="I146" s="52" t="s">
        <v>47</v>
      </c>
      <c r="J146" s="52">
        <v>2.7096451385378257</v>
      </c>
      <c r="K146" s="52" t="s">
        <v>160</v>
      </c>
      <c r="L146" s="52" t="s">
        <v>160</v>
      </c>
      <c r="M146" s="52">
        <v>28.97922331726107</v>
      </c>
      <c r="N146" s="52">
        <v>0.92237069636559166</v>
      </c>
      <c r="O146" s="52">
        <v>28.97922331726107</v>
      </c>
      <c r="P146" s="52" t="s">
        <v>160</v>
      </c>
      <c r="Q146" s="52" t="b">
        <v>0</v>
      </c>
      <c r="R146" s="52">
        <v>46910.862999999998</v>
      </c>
      <c r="S146" s="52" t="b">
        <v>1</v>
      </c>
      <c r="T146" s="52">
        <v>3</v>
      </c>
      <c r="U146" s="52">
        <v>22</v>
      </c>
    </row>
    <row r="147" spans="1:21" x14ac:dyDescent="0.25">
      <c r="A147" s="52">
        <v>30</v>
      </c>
      <c r="B147" s="52" t="s">
        <v>228</v>
      </c>
      <c r="C147" s="52" t="b">
        <v>0</v>
      </c>
      <c r="D147" s="52" t="s">
        <v>229</v>
      </c>
      <c r="E147" s="52" t="s">
        <v>43</v>
      </c>
      <c r="F147" s="52" t="s">
        <v>38</v>
      </c>
      <c r="G147" s="52" t="s">
        <v>12</v>
      </c>
      <c r="H147" s="52" t="s">
        <v>39</v>
      </c>
      <c r="I147" s="52" t="s">
        <v>40</v>
      </c>
      <c r="J147" s="52">
        <v>0</v>
      </c>
      <c r="K147" s="52" t="s">
        <v>160</v>
      </c>
      <c r="L147" s="52" t="s">
        <v>160</v>
      </c>
      <c r="M147" s="52" t="s">
        <v>41</v>
      </c>
      <c r="N147" s="52">
        <v>0</v>
      </c>
      <c r="O147" s="52" t="s">
        <v>160</v>
      </c>
      <c r="P147" s="52" t="s">
        <v>160</v>
      </c>
      <c r="Q147" s="52" t="b">
        <v>0</v>
      </c>
      <c r="R147" s="52">
        <v>69932.437000000005</v>
      </c>
      <c r="S147" s="52" t="b">
        <v>1</v>
      </c>
      <c r="T147" s="52">
        <v>3</v>
      </c>
      <c r="U147" s="52">
        <v>49</v>
      </c>
    </row>
    <row r="148" spans="1:21" x14ac:dyDescent="0.25">
      <c r="A148" s="52">
        <v>30</v>
      </c>
      <c r="B148" s="52" t="s">
        <v>228</v>
      </c>
      <c r="C148" s="52" t="b">
        <v>0</v>
      </c>
      <c r="D148" s="52" t="s">
        <v>229</v>
      </c>
      <c r="E148" s="52" t="s">
        <v>44</v>
      </c>
      <c r="F148" s="52" t="s">
        <v>38</v>
      </c>
      <c r="G148" s="52" t="s">
        <v>14</v>
      </c>
      <c r="H148" s="52" t="s">
        <v>39</v>
      </c>
      <c r="I148" s="52" t="s">
        <v>47</v>
      </c>
      <c r="J148" s="52">
        <v>2.6713460902754433</v>
      </c>
      <c r="K148" s="52" t="s">
        <v>160</v>
      </c>
      <c r="L148" s="52" t="s">
        <v>160</v>
      </c>
      <c r="M148" s="52">
        <v>24.239156112203773</v>
      </c>
      <c r="N148" s="52">
        <v>0.8937554775328731</v>
      </c>
      <c r="O148" s="52">
        <v>24.239156112203773</v>
      </c>
      <c r="P148" s="52" t="s">
        <v>160</v>
      </c>
      <c r="Q148" s="52" t="b">
        <v>0</v>
      </c>
      <c r="R148" s="52">
        <v>47660.913</v>
      </c>
      <c r="S148" s="52" t="b">
        <v>1</v>
      </c>
      <c r="T148" s="52">
        <v>3</v>
      </c>
      <c r="U148" s="52">
        <v>18</v>
      </c>
    </row>
    <row r="149" spans="1:21" x14ac:dyDescent="0.25">
      <c r="A149" s="52">
        <v>30</v>
      </c>
      <c r="B149" s="52" t="s">
        <v>228</v>
      </c>
      <c r="C149" s="52" t="b">
        <v>0</v>
      </c>
      <c r="D149" s="52" t="s">
        <v>229</v>
      </c>
      <c r="E149" s="52" t="s">
        <v>45</v>
      </c>
      <c r="F149" s="52" t="s">
        <v>38</v>
      </c>
      <c r="G149" s="52" t="s">
        <v>10</v>
      </c>
      <c r="H149" s="52" t="s">
        <v>39</v>
      </c>
      <c r="I149" s="52" t="s">
        <v>40</v>
      </c>
      <c r="J149" s="52">
        <v>2.136807320792864</v>
      </c>
      <c r="K149" s="52" t="s">
        <v>160</v>
      </c>
      <c r="L149" s="52" t="s">
        <v>160</v>
      </c>
      <c r="M149" s="52" t="s">
        <v>41</v>
      </c>
      <c r="N149" s="52">
        <v>0</v>
      </c>
      <c r="O149" s="52" t="s">
        <v>160</v>
      </c>
      <c r="P149" s="52" t="s">
        <v>160</v>
      </c>
      <c r="Q149" s="52" t="b">
        <v>0</v>
      </c>
      <c r="R149" s="52">
        <v>161088.065</v>
      </c>
      <c r="S149" s="52" t="b">
        <v>1</v>
      </c>
      <c r="T149" s="52">
        <v>3</v>
      </c>
      <c r="U149" s="52">
        <v>49</v>
      </c>
    </row>
    <row r="150" spans="1:21" x14ac:dyDescent="0.25">
      <c r="A150" s="52">
        <v>31</v>
      </c>
      <c r="B150" s="52" t="s">
        <v>230</v>
      </c>
      <c r="C150" s="52" t="b">
        <v>0</v>
      </c>
      <c r="D150" s="52" t="s">
        <v>231</v>
      </c>
      <c r="E150" s="52" t="s">
        <v>37</v>
      </c>
      <c r="F150" s="52" t="s">
        <v>38</v>
      </c>
      <c r="G150" s="52" t="s">
        <v>11</v>
      </c>
      <c r="H150" s="52" t="s">
        <v>39</v>
      </c>
      <c r="I150" s="52" t="s">
        <v>47</v>
      </c>
      <c r="J150" s="52">
        <v>2.7615353847783601</v>
      </c>
      <c r="K150" s="52" t="s">
        <v>160</v>
      </c>
      <c r="L150" s="52" t="s">
        <v>160</v>
      </c>
      <c r="M150" s="52">
        <v>28.768661934636121</v>
      </c>
      <c r="N150" s="52">
        <v>0.96965361793564553</v>
      </c>
      <c r="O150" s="52">
        <v>28.768661934636121</v>
      </c>
      <c r="P150" s="52" t="s">
        <v>160</v>
      </c>
      <c r="Q150" s="52" t="b">
        <v>0</v>
      </c>
      <c r="R150" s="52">
        <v>74142.899999999994</v>
      </c>
      <c r="S150" s="52" t="b">
        <v>1</v>
      </c>
      <c r="T150" s="52">
        <v>3</v>
      </c>
      <c r="U150" s="52">
        <v>21</v>
      </c>
    </row>
    <row r="151" spans="1:21" x14ac:dyDescent="0.25">
      <c r="A151" s="52">
        <v>31</v>
      </c>
      <c r="B151" s="52" t="s">
        <v>230</v>
      </c>
      <c r="C151" s="52" t="b">
        <v>0</v>
      </c>
      <c r="D151" s="52" t="s">
        <v>231</v>
      </c>
      <c r="E151" s="52" t="s">
        <v>42</v>
      </c>
      <c r="F151" s="52" t="s">
        <v>38</v>
      </c>
      <c r="G151" s="52" t="s">
        <v>13</v>
      </c>
      <c r="H151" s="52" t="s">
        <v>39</v>
      </c>
      <c r="I151" s="52" t="s">
        <v>47</v>
      </c>
      <c r="J151" s="52">
        <v>2.7041473894037464</v>
      </c>
      <c r="K151" s="52" t="s">
        <v>160</v>
      </c>
      <c r="L151" s="52" t="s">
        <v>160</v>
      </c>
      <c r="M151" s="52">
        <v>30.930132329104048</v>
      </c>
      <c r="N151" s="52">
        <v>0.91975561758339486</v>
      </c>
      <c r="O151" s="52">
        <v>30.930132329104048</v>
      </c>
      <c r="P151" s="52" t="s">
        <v>160</v>
      </c>
      <c r="Q151" s="52" t="b">
        <v>0</v>
      </c>
      <c r="R151" s="52">
        <v>46910.862999999998</v>
      </c>
      <c r="S151" s="52" t="b">
        <v>1</v>
      </c>
      <c r="T151" s="52">
        <v>3</v>
      </c>
      <c r="U151" s="52">
        <v>26</v>
      </c>
    </row>
    <row r="152" spans="1:21" x14ac:dyDescent="0.25">
      <c r="A152" s="52">
        <v>31</v>
      </c>
      <c r="B152" s="52" t="s">
        <v>230</v>
      </c>
      <c r="C152" s="52" t="b">
        <v>0</v>
      </c>
      <c r="D152" s="52" t="s">
        <v>231</v>
      </c>
      <c r="E152" s="52" t="s">
        <v>43</v>
      </c>
      <c r="F152" s="52" t="s">
        <v>38</v>
      </c>
      <c r="G152" s="52" t="s">
        <v>12</v>
      </c>
      <c r="H152" s="52" t="s">
        <v>39</v>
      </c>
      <c r="I152" s="52" t="s">
        <v>40</v>
      </c>
      <c r="J152" s="52">
        <v>0</v>
      </c>
      <c r="K152" s="52" t="s">
        <v>160</v>
      </c>
      <c r="L152" s="52" t="s">
        <v>160</v>
      </c>
      <c r="M152" s="52" t="s">
        <v>41</v>
      </c>
      <c r="N152" s="52">
        <v>0</v>
      </c>
      <c r="O152" s="52" t="s">
        <v>160</v>
      </c>
      <c r="P152" s="52" t="s">
        <v>160</v>
      </c>
      <c r="Q152" s="52" t="b">
        <v>0</v>
      </c>
      <c r="R152" s="52">
        <v>69932.437000000005</v>
      </c>
      <c r="S152" s="52" t="b">
        <v>1</v>
      </c>
      <c r="T152" s="52">
        <v>3</v>
      </c>
      <c r="U152" s="52">
        <v>49</v>
      </c>
    </row>
    <row r="153" spans="1:21" x14ac:dyDescent="0.25">
      <c r="A153" s="52">
        <v>31</v>
      </c>
      <c r="B153" s="52" t="s">
        <v>230</v>
      </c>
      <c r="C153" s="52" t="b">
        <v>0</v>
      </c>
      <c r="D153" s="52" t="s">
        <v>231</v>
      </c>
      <c r="E153" s="52" t="s">
        <v>44</v>
      </c>
      <c r="F153" s="52" t="s">
        <v>38</v>
      </c>
      <c r="G153" s="52" t="s">
        <v>14</v>
      </c>
      <c r="H153" s="52" t="s">
        <v>39</v>
      </c>
      <c r="I153" s="52" t="s">
        <v>47</v>
      </c>
      <c r="J153" s="52">
        <v>2.6832412175762759</v>
      </c>
      <c r="K153" s="52" t="s">
        <v>160</v>
      </c>
      <c r="L153" s="52" t="s">
        <v>160</v>
      </c>
      <c r="M153" s="52">
        <v>26.95475723353934</v>
      </c>
      <c r="N153" s="52">
        <v>0.92574410634801563</v>
      </c>
      <c r="O153" s="52">
        <v>26.95475723353934</v>
      </c>
      <c r="P153" s="52" t="s">
        <v>160</v>
      </c>
      <c r="Q153" s="52" t="b">
        <v>0</v>
      </c>
      <c r="R153" s="52">
        <v>47660.913</v>
      </c>
      <c r="S153" s="52" t="b">
        <v>1</v>
      </c>
      <c r="T153" s="52">
        <v>3</v>
      </c>
      <c r="U153" s="52">
        <v>19</v>
      </c>
    </row>
    <row r="154" spans="1:21" x14ac:dyDescent="0.25">
      <c r="A154" s="52">
        <v>31</v>
      </c>
      <c r="B154" s="52" t="s">
        <v>230</v>
      </c>
      <c r="C154" s="52" t="b">
        <v>0</v>
      </c>
      <c r="D154" s="52" t="s">
        <v>231</v>
      </c>
      <c r="E154" s="52" t="s">
        <v>45</v>
      </c>
      <c r="F154" s="52" t="s">
        <v>38</v>
      </c>
      <c r="G154" s="52" t="s">
        <v>10</v>
      </c>
      <c r="H154" s="52" t="s">
        <v>39</v>
      </c>
      <c r="I154" s="52" t="s">
        <v>139</v>
      </c>
      <c r="J154" s="52">
        <v>0</v>
      </c>
      <c r="K154" s="52" t="s">
        <v>160</v>
      </c>
      <c r="L154" s="52" t="s">
        <v>160</v>
      </c>
      <c r="M154" s="52" t="s">
        <v>41</v>
      </c>
      <c r="N154" s="52">
        <v>0</v>
      </c>
      <c r="O154" s="52" t="s">
        <v>160</v>
      </c>
      <c r="P154" s="52" t="s">
        <v>160</v>
      </c>
      <c r="Q154" s="52" t="b">
        <v>0</v>
      </c>
      <c r="R154" s="52">
        <v>161088.065</v>
      </c>
      <c r="S154" s="52" t="b">
        <v>1</v>
      </c>
      <c r="T154" s="52">
        <v>3</v>
      </c>
      <c r="U154" s="52">
        <v>49</v>
      </c>
    </row>
    <row r="155" spans="1:21" x14ac:dyDescent="0.25">
      <c r="A155" s="52">
        <v>32</v>
      </c>
      <c r="B155" s="52" t="s">
        <v>232</v>
      </c>
      <c r="C155" s="52" t="b">
        <v>0</v>
      </c>
      <c r="D155" s="52" t="s">
        <v>233</v>
      </c>
      <c r="E155" s="52" t="s">
        <v>37</v>
      </c>
      <c r="F155" s="52" t="s">
        <v>38</v>
      </c>
      <c r="G155" s="52" t="s">
        <v>11</v>
      </c>
      <c r="H155" s="52" t="s">
        <v>39</v>
      </c>
      <c r="I155" s="52" t="s">
        <v>47</v>
      </c>
      <c r="J155" s="52">
        <v>0</v>
      </c>
      <c r="K155" s="52" t="s">
        <v>160</v>
      </c>
      <c r="L155" s="52" t="s">
        <v>160</v>
      </c>
      <c r="M155" s="52">
        <v>27.949953669167037</v>
      </c>
      <c r="N155" s="52">
        <v>0.97148175813212789</v>
      </c>
      <c r="O155" s="52">
        <v>27.949953669167037</v>
      </c>
      <c r="P155" s="52" t="s">
        <v>160</v>
      </c>
      <c r="Q155" s="52" t="b">
        <v>0</v>
      </c>
      <c r="R155" s="52">
        <v>74142.899999999994</v>
      </c>
      <c r="S155" s="52" t="b">
        <v>1</v>
      </c>
      <c r="T155" s="52">
        <v>3</v>
      </c>
      <c r="U155" s="52">
        <v>19</v>
      </c>
    </row>
    <row r="156" spans="1:21" x14ac:dyDescent="0.25">
      <c r="A156" s="52">
        <v>32</v>
      </c>
      <c r="B156" s="52" t="s">
        <v>232</v>
      </c>
      <c r="C156" s="52" t="b">
        <v>0</v>
      </c>
      <c r="D156" s="52" t="s">
        <v>233</v>
      </c>
      <c r="E156" s="52" t="s">
        <v>42</v>
      </c>
      <c r="F156" s="52" t="s">
        <v>38</v>
      </c>
      <c r="G156" s="52" t="s">
        <v>13</v>
      </c>
      <c r="H156" s="52" t="s">
        <v>39</v>
      </c>
      <c r="I156" s="52" t="s">
        <v>47</v>
      </c>
      <c r="J156" s="52">
        <v>2.6873270391507309</v>
      </c>
      <c r="K156" s="52" t="s">
        <v>160</v>
      </c>
      <c r="L156" s="52" t="s">
        <v>160</v>
      </c>
      <c r="M156" s="52">
        <v>31.329801909604839</v>
      </c>
      <c r="N156" s="52">
        <v>0.91815844449416095</v>
      </c>
      <c r="O156" s="52">
        <v>31.329801909604839</v>
      </c>
      <c r="P156" s="52" t="s">
        <v>160</v>
      </c>
      <c r="Q156" s="52" t="b">
        <v>0</v>
      </c>
      <c r="R156" s="52">
        <v>46910.862999999998</v>
      </c>
      <c r="S156" s="52" t="b">
        <v>1</v>
      </c>
      <c r="T156" s="52">
        <v>3</v>
      </c>
      <c r="U156" s="52">
        <v>26</v>
      </c>
    </row>
    <row r="157" spans="1:21" x14ac:dyDescent="0.25">
      <c r="A157" s="52">
        <v>32</v>
      </c>
      <c r="B157" s="52" t="s">
        <v>232</v>
      </c>
      <c r="C157" s="52" t="b">
        <v>0</v>
      </c>
      <c r="D157" s="52" t="s">
        <v>233</v>
      </c>
      <c r="E157" s="52" t="s">
        <v>43</v>
      </c>
      <c r="F157" s="52" t="s">
        <v>38</v>
      </c>
      <c r="G157" s="52" t="s">
        <v>12</v>
      </c>
      <c r="H157" s="52" t="s">
        <v>39</v>
      </c>
      <c r="I157" s="52" t="s">
        <v>40</v>
      </c>
      <c r="J157" s="52">
        <v>0</v>
      </c>
      <c r="K157" s="52" t="s">
        <v>160</v>
      </c>
      <c r="L157" s="52" t="s">
        <v>160</v>
      </c>
      <c r="M157" s="52" t="s">
        <v>41</v>
      </c>
      <c r="N157" s="52">
        <v>0</v>
      </c>
      <c r="O157" s="52" t="s">
        <v>160</v>
      </c>
      <c r="P157" s="52" t="s">
        <v>160</v>
      </c>
      <c r="Q157" s="52" t="b">
        <v>0</v>
      </c>
      <c r="R157" s="52">
        <v>69932.437000000005</v>
      </c>
      <c r="S157" s="52" t="b">
        <v>1</v>
      </c>
      <c r="T157" s="52">
        <v>3</v>
      </c>
      <c r="U157" s="52">
        <v>49</v>
      </c>
    </row>
    <row r="158" spans="1:21" x14ac:dyDescent="0.25">
      <c r="A158" s="52">
        <v>32</v>
      </c>
      <c r="B158" s="52" t="s">
        <v>232</v>
      </c>
      <c r="C158" s="52" t="b">
        <v>0</v>
      </c>
      <c r="D158" s="52" t="s">
        <v>233</v>
      </c>
      <c r="E158" s="52" t="s">
        <v>44</v>
      </c>
      <c r="F158" s="52" t="s">
        <v>38</v>
      </c>
      <c r="G158" s="52" t="s">
        <v>14</v>
      </c>
      <c r="H158" s="52" t="s">
        <v>39</v>
      </c>
      <c r="I158" s="52" t="s">
        <v>47</v>
      </c>
      <c r="J158" s="52">
        <v>2.6676476929883628</v>
      </c>
      <c r="K158" s="52" t="s">
        <v>160</v>
      </c>
      <c r="L158" s="52" t="s">
        <v>160</v>
      </c>
      <c r="M158" s="52">
        <v>25.404728875156351</v>
      </c>
      <c r="N158" s="52">
        <v>0.92488528134687376</v>
      </c>
      <c r="O158" s="52">
        <v>25.404728875156351</v>
      </c>
      <c r="P158" s="52" t="s">
        <v>160</v>
      </c>
      <c r="Q158" s="52" t="b">
        <v>0</v>
      </c>
      <c r="R158" s="52">
        <v>47660.913</v>
      </c>
      <c r="S158" s="52" t="b">
        <v>1</v>
      </c>
      <c r="T158" s="52">
        <v>3</v>
      </c>
      <c r="U158" s="52">
        <v>18</v>
      </c>
    </row>
    <row r="159" spans="1:21" x14ac:dyDescent="0.25">
      <c r="A159" s="52">
        <v>32</v>
      </c>
      <c r="B159" s="52" t="s">
        <v>232</v>
      </c>
      <c r="C159" s="52" t="b">
        <v>0</v>
      </c>
      <c r="D159" s="52" t="s">
        <v>233</v>
      </c>
      <c r="E159" s="52" t="s">
        <v>45</v>
      </c>
      <c r="F159" s="52" t="s">
        <v>38</v>
      </c>
      <c r="G159" s="52" t="s">
        <v>10</v>
      </c>
      <c r="H159" s="52" t="s">
        <v>39</v>
      </c>
      <c r="I159" s="52" t="s">
        <v>40</v>
      </c>
      <c r="J159" s="52">
        <v>0</v>
      </c>
      <c r="K159" s="52" t="s">
        <v>160</v>
      </c>
      <c r="L159" s="52" t="s">
        <v>160</v>
      </c>
      <c r="M159" s="52" t="s">
        <v>41</v>
      </c>
      <c r="N159" s="52">
        <v>0</v>
      </c>
      <c r="O159" s="52" t="s">
        <v>160</v>
      </c>
      <c r="P159" s="52" t="s">
        <v>160</v>
      </c>
      <c r="Q159" s="52" t="b">
        <v>0</v>
      </c>
      <c r="R159" s="52">
        <v>161088.065</v>
      </c>
      <c r="S159" s="52" t="b">
        <v>1</v>
      </c>
      <c r="T159" s="52">
        <v>3</v>
      </c>
      <c r="U159" s="52">
        <v>49</v>
      </c>
    </row>
    <row r="160" spans="1:21" x14ac:dyDescent="0.25">
      <c r="A160" s="52">
        <v>33</v>
      </c>
      <c r="B160" s="52" t="s">
        <v>234</v>
      </c>
      <c r="C160" s="52" t="b">
        <v>0</v>
      </c>
      <c r="D160" s="52" t="s">
        <v>235</v>
      </c>
      <c r="E160" s="52" t="s">
        <v>37</v>
      </c>
      <c r="F160" s="52" t="s">
        <v>38</v>
      </c>
      <c r="G160" s="52" t="s">
        <v>11</v>
      </c>
      <c r="H160" s="52" t="s">
        <v>39</v>
      </c>
      <c r="I160" s="52" t="s">
        <v>47</v>
      </c>
      <c r="J160" s="52">
        <v>2.7723916714437378</v>
      </c>
      <c r="K160" s="52" t="s">
        <v>160</v>
      </c>
      <c r="L160" s="52" t="s">
        <v>160</v>
      </c>
      <c r="M160" s="52">
        <v>31.007633519268367</v>
      </c>
      <c r="N160" s="52">
        <v>0.95974009047520903</v>
      </c>
      <c r="O160" s="52">
        <v>31.007633519268367</v>
      </c>
      <c r="P160" s="52" t="s">
        <v>160</v>
      </c>
      <c r="Q160" s="52" t="b">
        <v>0</v>
      </c>
      <c r="R160" s="52">
        <v>74142.899999999994</v>
      </c>
      <c r="S160" s="52" t="b">
        <v>1</v>
      </c>
      <c r="T160" s="52">
        <v>3</v>
      </c>
      <c r="U160" s="52">
        <v>23</v>
      </c>
    </row>
    <row r="161" spans="1:21" x14ac:dyDescent="0.25">
      <c r="A161" s="52">
        <v>33</v>
      </c>
      <c r="B161" s="52" t="s">
        <v>234</v>
      </c>
      <c r="C161" s="52" t="b">
        <v>0</v>
      </c>
      <c r="D161" s="52" t="s">
        <v>235</v>
      </c>
      <c r="E161" s="52" t="s">
        <v>42</v>
      </c>
      <c r="F161" s="52" t="s">
        <v>38</v>
      </c>
      <c r="G161" s="52" t="s">
        <v>13</v>
      </c>
      <c r="H161" s="52" t="s">
        <v>39</v>
      </c>
      <c r="I161" s="52" t="s">
        <v>47</v>
      </c>
      <c r="J161" s="52">
        <v>2.6533852245754868</v>
      </c>
      <c r="K161" s="52" t="s">
        <v>160</v>
      </c>
      <c r="L161" s="52" t="s">
        <v>160</v>
      </c>
      <c r="M161" s="52">
        <v>33.220776524327043</v>
      </c>
      <c r="N161" s="52">
        <v>0.83341697005308679</v>
      </c>
      <c r="O161" s="52">
        <v>33.220776524327043</v>
      </c>
      <c r="P161" s="52" t="s">
        <v>160</v>
      </c>
      <c r="Q161" s="52" t="b">
        <v>0</v>
      </c>
      <c r="R161" s="52">
        <v>46910.862999999998</v>
      </c>
      <c r="S161" s="52" t="b">
        <v>1</v>
      </c>
      <c r="T161" s="52">
        <v>3</v>
      </c>
      <c r="U161" s="52">
        <v>26</v>
      </c>
    </row>
    <row r="162" spans="1:21" x14ac:dyDescent="0.25">
      <c r="A162" s="52">
        <v>33</v>
      </c>
      <c r="B162" s="52" t="s">
        <v>234</v>
      </c>
      <c r="C162" s="52" t="b">
        <v>0</v>
      </c>
      <c r="D162" s="52" t="s">
        <v>235</v>
      </c>
      <c r="E162" s="52" t="s">
        <v>43</v>
      </c>
      <c r="F162" s="52" t="s">
        <v>38</v>
      </c>
      <c r="G162" s="52" t="s">
        <v>12</v>
      </c>
      <c r="H162" s="52" t="s">
        <v>39</v>
      </c>
      <c r="I162" s="52" t="s">
        <v>40</v>
      </c>
      <c r="J162" s="52">
        <v>0</v>
      </c>
      <c r="K162" s="52" t="s">
        <v>160</v>
      </c>
      <c r="L162" s="52" t="s">
        <v>160</v>
      </c>
      <c r="M162" s="52" t="s">
        <v>41</v>
      </c>
      <c r="N162" s="52">
        <v>0</v>
      </c>
      <c r="O162" s="52" t="s">
        <v>160</v>
      </c>
      <c r="P162" s="52" t="s">
        <v>160</v>
      </c>
      <c r="Q162" s="52" t="b">
        <v>0</v>
      </c>
      <c r="R162" s="52">
        <v>69932.437000000005</v>
      </c>
      <c r="S162" s="52" t="b">
        <v>1</v>
      </c>
      <c r="T162" s="52">
        <v>3</v>
      </c>
      <c r="U162" s="52">
        <v>49</v>
      </c>
    </row>
    <row r="163" spans="1:21" x14ac:dyDescent="0.25">
      <c r="A163" s="52">
        <v>33</v>
      </c>
      <c r="B163" s="52" t="s">
        <v>234</v>
      </c>
      <c r="C163" s="52" t="b">
        <v>0</v>
      </c>
      <c r="D163" s="52" t="s">
        <v>235</v>
      </c>
      <c r="E163" s="52" t="s">
        <v>44</v>
      </c>
      <c r="F163" s="52" t="s">
        <v>38</v>
      </c>
      <c r="G163" s="52" t="s">
        <v>14</v>
      </c>
      <c r="H163" s="52" t="s">
        <v>39</v>
      </c>
      <c r="I163" s="52" t="s">
        <v>47</v>
      </c>
      <c r="J163" s="52">
        <v>2.6580094299723132</v>
      </c>
      <c r="K163" s="52" t="s">
        <v>160</v>
      </c>
      <c r="L163" s="52" t="s">
        <v>160</v>
      </c>
      <c r="M163" s="52">
        <v>27.243512937325043</v>
      </c>
      <c r="N163" s="52">
        <v>0.93251890923542302</v>
      </c>
      <c r="O163" s="52">
        <v>27.243512937325043</v>
      </c>
      <c r="P163" s="52" t="s">
        <v>160</v>
      </c>
      <c r="Q163" s="52" t="b">
        <v>0</v>
      </c>
      <c r="R163" s="52">
        <v>47660.913</v>
      </c>
      <c r="S163" s="52" t="b">
        <v>1</v>
      </c>
      <c r="T163" s="52">
        <v>3</v>
      </c>
      <c r="U163" s="52">
        <v>20</v>
      </c>
    </row>
    <row r="164" spans="1:21" x14ac:dyDescent="0.25">
      <c r="A164" s="52">
        <v>33</v>
      </c>
      <c r="B164" s="52" t="s">
        <v>234</v>
      </c>
      <c r="C164" s="52" t="b">
        <v>0</v>
      </c>
      <c r="D164" s="52" t="s">
        <v>235</v>
      </c>
      <c r="E164" s="52" t="s">
        <v>45</v>
      </c>
      <c r="F164" s="52" t="s">
        <v>38</v>
      </c>
      <c r="G164" s="52" t="s">
        <v>10</v>
      </c>
      <c r="H164" s="52" t="s">
        <v>39</v>
      </c>
      <c r="I164" s="52" t="s">
        <v>40</v>
      </c>
      <c r="J164" s="52">
        <v>2.2202075529875245</v>
      </c>
      <c r="K164" s="52" t="s">
        <v>160</v>
      </c>
      <c r="L164" s="52" t="s">
        <v>160</v>
      </c>
      <c r="M164" s="52" t="s">
        <v>41</v>
      </c>
      <c r="N164" s="52">
        <v>0</v>
      </c>
      <c r="O164" s="52" t="s">
        <v>160</v>
      </c>
      <c r="P164" s="52" t="s">
        <v>160</v>
      </c>
      <c r="Q164" s="52" t="b">
        <v>0</v>
      </c>
      <c r="R164" s="52">
        <v>161088.065</v>
      </c>
      <c r="S164" s="52" t="b">
        <v>1</v>
      </c>
      <c r="T164" s="52">
        <v>3</v>
      </c>
      <c r="U164" s="52">
        <v>49</v>
      </c>
    </row>
    <row r="165" spans="1:21" x14ac:dyDescent="0.25">
      <c r="A165" s="52">
        <v>34</v>
      </c>
      <c r="B165" s="52" t="s">
        <v>236</v>
      </c>
      <c r="C165" s="52" t="b">
        <v>0</v>
      </c>
      <c r="D165" s="52" t="s">
        <v>237</v>
      </c>
      <c r="E165" s="52" t="s">
        <v>37</v>
      </c>
      <c r="F165" s="52" t="s">
        <v>38</v>
      </c>
      <c r="G165" s="52" t="s">
        <v>11</v>
      </c>
      <c r="H165" s="52" t="s">
        <v>39</v>
      </c>
      <c r="I165" s="52" t="s">
        <v>47</v>
      </c>
      <c r="J165" s="52">
        <v>2.6990125067486472</v>
      </c>
      <c r="K165" s="52" t="s">
        <v>160</v>
      </c>
      <c r="L165" s="52" t="s">
        <v>160</v>
      </c>
      <c r="M165" s="52">
        <v>33.942958454545476</v>
      </c>
      <c r="N165" s="52">
        <v>0.92650046172445466</v>
      </c>
      <c r="O165" s="52">
        <v>33.942958454545476</v>
      </c>
      <c r="P165" s="52" t="s">
        <v>160</v>
      </c>
      <c r="Q165" s="52" t="b">
        <v>0</v>
      </c>
      <c r="R165" s="52">
        <v>74142.899999999994</v>
      </c>
      <c r="S165" s="52" t="b">
        <v>1</v>
      </c>
      <c r="T165" s="52">
        <v>3</v>
      </c>
      <c r="U165" s="52">
        <v>23</v>
      </c>
    </row>
    <row r="166" spans="1:21" x14ac:dyDescent="0.25">
      <c r="A166" s="52">
        <v>34</v>
      </c>
      <c r="B166" s="52" t="s">
        <v>236</v>
      </c>
      <c r="C166" s="52" t="b">
        <v>0</v>
      </c>
      <c r="D166" s="52" t="s">
        <v>237</v>
      </c>
      <c r="E166" s="52" t="s">
        <v>42</v>
      </c>
      <c r="F166" s="52" t="s">
        <v>38</v>
      </c>
      <c r="G166" s="52" t="s">
        <v>13</v>
      </c>
      <c r="H166" s="52" t="s">
        <v>39</v>
      </c>
      <c r="I166" s="52" t="s">
        <v>139</v>
      </c>
      <c r="J166" s="52">
        <v>0</v>
      </c>
      <c r="K166" s="52" t="s">
        <v>160</v>
      </c>
      <c r="L166" s="52" t="s">
        <v>160</v>
      </c>
      <c r="M166" s="52" t="s">
        <v>41</v>
      </c>
      <c r="N166" s="52">
        <v>0</v>
      </c>
      <c r="O166" s="52" t="s">
        <v>160</v>
      </c>
      <c r="P166" s="52" t="s">
        <v>160</v>
      </c>
      <c r="Q166" s="52" t="b">
        <v>0</v>
      </c>
      <c r="R166" s="52">
        <v>46910.862999999998</v>
      </c>
      <c r="S166" s="52" t="b">
        <v>1</v>
      </c>
      <c r="T166" s="52">
        <v>3</v>
      </c>
      <c r="U166" s="52">
        <v>49</v>
      </c>
    </row>
    <row r="167" spans="1:21" x14ac:dyDescent="0.25">
      <c r="A167" s="52">
        <v>34</v>
      </c>
      <c r="B167" s="52" t="s">
        <v>236</v>
      </c>
      <c r="C167" s="52" t="b">
        <v>0</v>
      </c>
      <c r="D167" s="52" t="s">
        <v>237</v>
      </c>
      <c r="E167" s="52" t="s">
        <v>43</v>
      </c>
      <c r="F167" s="52" t="s">
        <v>38</v>
      </c>
      <c r="G167" s="52" t="s">
        <v>12</v>
      </c>
      <c r="H167" s="52" t="s">
        <v>39</v>
      </c>
      <c r="I167" s="52" t="s">
        <v>40</v>
      </c>
      <c r="J167" s="52">
        <v>0</v>
      </c>
      <c r="K167" s="52" t="s">
        <v>160</v>
      </c>
      <c r="L167" s="52" t="s">
        <v>160</v>
      </c>
      <c r="M167" s="52" t="s">
        <v>41</v>
      </c>
      <c r="N167" s="52">
        <v>0</v>
      </c>
      <c r="O167" s="52" t="s">
        <v>160</v>
      </c>
      <c r="P167" s="52" t="s">
        <v>160</v>
      </c>
      <c r="Q167" s="52" t="b">
        <v>0</v>
      </c>
      <c r="R167" s="52">
        <v>69932.437000000005</v>
      </c>
      <c r="S167" s="52" t="b">
        <v>1</v>
      </c>
      <c r="T167" s="52">
        <v>3</v>
      </c>
      <c r="U167" s="52">
        <v>49</v>
      </c>
    </row>
    <row r="168" spans="1:21" x14ac:dyDescent="0.25">
      <c r="A168" s="52">
        <v>34</v>
      </c>
      <c r="B168" s="52" t="s">
        <v>236</v>
      </c>
      <c r="C168" s="52" t="b">
        <v>0</v>
      </c>
      <c r="D168" s="52" t="s">
        <v>237</v>
      </c>
      <c r="E168" s="52" t="s">
        <v>44</v>
      </c>
      <c r="F168" s="52" t="s">
        <v>38</v>
      </c>
      <c r="G168" s="52" t="s">
        <v>14</v>
      </c>
      <c r="H168" s="52" t="s">
        <v>39</v>
      </c>
      <c r="I168" s="52" t="s">
        <v>47</v>
      </c>
      <c r="J168" s="52">
        <v>2.6390868153704101</v>
      </c>
      <c r="K168" s="52" t="s">
        <v>160</v>
      </c>
      <c r="L168" s="52" t="s">
        <v>160</v>
      </c>
      <c r="M168" s="52">
        <v>26.654273241886081</v>
      </c>
      <c r="N168" s="52">
        <v>0.95803007531356854</v>
      </c>
      <c r="O168" s="52">
        <v>26.654273241886081</v>
      </c>
      <c r="P168" s="52" t="s">
        <v>160</v>
      </c>
      <c r="Q168" s="52" t="b">
        <v>0</v>
      </c>
      <c r="R168" s="52">
        <v>47660.913</v>
      </c>
      <c r="S168" s="52" t="b">
        <v>1</v>
      </c>
      <c r="T168" s="52">
        <v>3</v>
      </c>
      <c r="U168" s="52">
        <v>17</v>
      </c>
    </row>
    <row r="169" spans="1:21" x14ac:dyDescent="0.25">
      <c r="A169" s="52">
        <v>34</v>
      </c>
      <c r="B169" s="52" t="s">
        <v>236</v>
      </c>
      <c r="C169" s="52" t="b">
        <v>0</v>
      </c>
      <c r="D169" s="52" t="s">
        <v>237</v>
      </c>
      <c r="E169" s="52" t="s">
        <v>45</v>
      </c>
      <c r="F169" s="52" t="s">
        <v>38</v>
      </c>
      <c r="G169" s="52" t="s">
        <v>10</v>
      </c>
      <c r="H169" s="52" t="s">
        <v>39</v>
      </c>
      <c r="I169" s="52" t="s">
        <v>139</v>
      </c>
      <c r="J169" s="52">
        <v>0</v>
      </c>
      <c r="K169" s="52" t="s">
        <v>160</v>
      </c>
      <c r="L169" s="52" t="s">
        <v>160</v>
      </c>
      <c r="M169" s="52" t="s">
        <v>41</v>
      </c>
      <c r="N169" s="52">
        <v>0</v>
      </c>
      <c r="O169" s="52" t="s">
        <v>160</v>
      </c>
      <c r="P169" s="52" t="s">
        <v>160</v>
      </c>
      <c r="Q169" s="52" t="b">
        <v>0</v>
      </c>
      <c r="R169" s="52">
        <v>161088.065</v>
      </c>
      <c r="S169" s="52" t="b">
        <v>1</v>
      </c>
      <c r="T169" s="52">
        <v>3</v>
      </c>
      <c r="U169" s="52">
        <v>49</v>
      </c>
    </row>
    <row r="170" spans="1:21" x14ac:dyDescent="0.25">
      <c r="A170" s="52">
        <v>36</v>
      </c>
      <c r="B170" s="52" t="s">
        <v>238</v>
      </c>
      <c r="C170" s="52" t="b">
        <v>0</v>
      </c>
      <c r="D170" s="52" t="s">
        <v>239</v>
      </c>
      <c r="E170" s="52" t="s">
        <v>37</v>
      </c>
      <c r="F170" s="52" t="s">
        <v>38</v>
      </c>
      <c r="G170" s="52" t="s">
        <v>11</v>
      </c>
      <c r="H170" s="52" t="s">
        <v>39</v>
      </c>
      <c r="I170" s="52" t="s">
        <v>47</v>
      </c>
      <c r="J170" s="52">
        <v>0</v>
      </c>
      <c r="K170" s="52" t="s">
        <v>160</v>
      </c>
      <c r="L170" s="52" t="s">
        <v>160</v>
      </c>
      <c r="M170" s="52">
        <v>27.407102123226018</v>
      </c>
      <c r="N170" s="52">
        <v>0.95267775754559769</v>
      </c>
      <c r="O170" s="52">
        <v>27.407102123226018</v>
      </c>
      <c r="P170" s="52" t="s">
        <v>160</v>
      </c>
      <c r="Q170" s="52" t="b">
        <v>0</v>
      </c>
      <c r="R170" s="52">
        <v>74142.899999999994</v>
      </c>
      <c r="S170" s="52" t="b">
        <v>1</v>
      </c>
      <c r="T170" s="52">
        <v>3</v>
      </c>
      <c r="U170" s="52">
        <v>19</v>
      </c>
    </row>
    <row r="171" spans="1:21" x14ac:dyDescent="0.25">
      <c r="A171" s="52">
        <v>36</v>
      </c>
      <c r="B171" s="52" t="s">
        <v>238</v>
      </c>
      <c r="C171" s="52" t="b">
        <v>0</v>
      </c>
      <c r="D171" s="52" t="s">
        <v>239</v>
      </c>
      <c r="E171" s="52" t="s">
        <v>42</v>
      </c>
      <c r="F171" s="52" t="s">
        <v>38</v>
      </c>
      <c r="G171" s="52" t="s">
        <v>13</v>
      </c>
      <c r="H171" s="52" t="s">
        <v>39</v>
      </c>
      <c r="I171" s="52" t="s">
        <v>47</v>
      </c>
      <c r="J171" s="52">
        <v>0</v>
      </c>
      <c r="K171" s="52" t="s">
        <v>160</v>
      </c>
      <c r="L171" s="52" t="s">
        <v>160</v>
      </c>
      <c r="M171" s="52">
        <v>28.598585274968364</v>
      </c>
      <c r="N171" s="52">
        <v>0.95088838639603246</v>
      </c>
      <c r="O171" s="52">
        <v>28.598585274968364</v>
      </c>
      <c r="P171" s="52" t="s">
        <v>160</v>
      </c>
      <c r="Q171" s="52" t="b">
        <v>0</v>
      </c>
      <c r="R171" s="52">
        <v>46910.862999999998</v>
      </c>
      <c r="S171" s="52" t="b">
        <v>1</v>
      </c>
      <c r="T171" s="52">
        <v>3</v>
      </c>
      <c r="U171" s="52">
        <v>22</v>
      </c>
    </row>
    <row r="172" spans="1:21" x14ac:dyDescent="0.25">
      <c r="A172" s="52">
        <v>36</v>
      </c>
      <c r="B172" s="52" t="s">
        <v>238</v>
      </c>
      <c r="C172" s="52" t="b">
        <v>0</v>
      </c>
      <c r="D172" s="52" t="s">
        <v>239</v>
      </c>
      <c r="E172" s="52" t="s">
        <v>43</v>
      </c>
      <c r="F172" s="52" t="s">
        <v>38</v>
      </c>
      <c r="G172" s="52" t="s">
        <v>12</v>
      </c>
      <c r="H172" s="52" t="s">
        <v>39</v>
      </c>
      <c r="I172" s="52" t="s">
        <v>47</v>
      </c>
      <c r="J172" s="52">
        <v>2.795841031571912</v>
      </c>
      <c r="K172" s="52" t="s">
        <v>160</v>
      </c>
      <c r="L172" s="52" t="s">
        <v>160</v>
      </c>
      <c r="M172" s="52">
        <v>28.652821450289743</v>
      </c>
      <c r="N172" s="52">
        <v>0.95949665260463912</v>
      </c>
      <c r="O172" s="52">
        <v>28.652821450289743</v>
      </c>
      <c r="P172" s="52" t="s">
        <v>160</v>
      </c>
      <c r="Q172" s="52" t="b">
        <v>0</v>
      </c>
      <c r="R172" s="52">
        <v>69932.437000000005</v>
      </c>
      <c r="S172" s="52" t="b">
        <v>1</v>
      </c>
      <c r="T172" s="52">
        <v>3</v>
      </c>
      <c r="U172" s="52">
        <v>20</v>
      </c>
    </row>
    <row r="173" spans="1:21" x14ac:dyDescent="0.25">
      <c r="A173" s="52">
        <v>36</v>
      </c>
      <c r="B173" s="52" t="s">
        <v>238</v>
      </c>
      <c r="C173" s="52" t="b">
        <v>0</v>
      </c>
      <c r="D173" s="52" t="s">
        <v>239</v>
      </c>
      <c r="E173" s="52" t="s">
        <v>44</v>
      </c>
      <c r="F173" s="52" t="s">
        <v>38</v>
      </c>
      <c r="G173" s="52" t="s">
        <v>14</v>
      </c>
      <c r="H173" s="52" t="s">
        <v>39</v>
      </c>
      <c r="I173" s="52" t="s">
        <v>40</v>
      </c>
      <c r="J173" s="52">
        <v>0</v>
      </c>
      <c r="K173" s="52" t="s">
        <v>160</v>
      </c>
      <c r="L173" s="52" t="s">
        <v>160</v>
      </c>
      <c r="M173" s="52" t="s">
        <v>41</v>
      </c>
      <c r="N173" s="52">
        <v>0</v>
      </c>
      <c r="O173" s="52" t="s">
        <v>160</v>
      </c>
      <c r="P173" s="52" t="s">
        <v>160</v>
      </c>
      <c r="Q173" s="52" t="b">
        <v>0</v>
      </c>
      <c r="R173" s="52">
        <v>47660.913</v>
      </c>
      <c r="S173" s="52" t="b">
        <v>1</v>
      </c>
      <c r="T173" s="52">
        <v>3</v>
      </c>
      <c r="U173" s="52">
        <v>26</v>
      </c>
    </row>
    <row r="174" spans="1:21" x14ac:dyDescent="0.25">
      <c r="A174" s="52">
        <v>36</v>
      </c>
      <c r="B174" s="52" t="s">
        <v>238</v>
      </c>
      <c r="C174" s="52" t="b">
        <v>0</v>
      </c>
      <c r="D174" s="52" t="s">
        <v>239</v>
      </c>
      <c r="E174" s="52" t="s">
        <v>45</v>
      </c>
      <c r="F174" s="52" t="s">
        <v>38</v>
      </c>
      <c r="G174" s="52" t="s">
        <v>10</v>
      </c>
      <c r="H174" s="52" t="s">
        <v>39</v>
      </c>
      <c r="I174" s="52" t="s">
        <v>47</v>
      </c>
      <c r="J174" s="52">
        <v>2.9800687779264519</v>
      </c>
      <c r="K174" s="52" t="s">
        <v>160</v>
      </c>
      <c r="L174" s="52" t="s">
        <v>160</v>
      </c>
      <c r="M174" s="52">
        <v>27.757595902642798</v>
      </c>
      <c r="N174" s="52">
        <v>0.94583917257368</v>
      </c>
      <c r="O174" s="52">
        <v>27.757595902642798</v>
      </c>
      <c r="P174" s="52" t="s">
        <v>160</v>
      </c>
      <c r="Q174" s="52" t="b">
        <v>0</v>
      </c>
      <c r="R174" s="52">
        <v>161088.065</v>
      </c>
      <c r="S174" s="52" t="b">
        <v>1</v>
      </c>
      <c r="T174" s="52">
        <v>3</v>
      </c>
      <c r="U174" s="52">
        <v>19</v>
      </c>
    </row>
    <row r="175" spans="1:21" x14ac:dyDescent="0.25">
      <c r="A175" s="52">
        <v>37</v>
      </c>
      <c r="B175" s="52" t="s">
        <v>56</v>
      </c>
      <c r="C175" s="52" t="b">
        <v>0</v>
      </c>
      <c r="D175" s="52" t="s">
        <v>240</v>
      </c>
      <c r="E175" s="52" t="s">
        <v>37</v>
      </c>
      <c r="F175" s="52" t="s">
        <v>38</v>
      </c>
      <c r="G175" s="52" t="s">
        <v>11</v>
      </c>
      <c r="H175" s="52" t="s">
        <v>39</v>
      </c>
      <c r="I175" s="52" t="s">
        <v>47</v>
      </c>
      <c r="J175" s="52">
        <v>2.7325960310280282</v>
      </c>
      <c r="K175" s="52" t="s">
        <v>160</v>
      </c>
      <c r="L175" s="52" t="s">
        <v>160</v>
      </c>
      <c r="M175" s="52">
        <v>27.838616373268088</v>
      </c>
      <c r="N175" s="52">
        <v>0.96126173439472884</v>
      </c>
      <c r="O175" s="52">
        <v>27.838616373268088</v>
      </c>
      <c r="P175" s="52" t="s">
        <v>160</v>
      </c>
      <c r="Q175" s="52" t="b">
        <v>0</v>
      </c>
      <c r="R175" s="52">
        <v>74142.899999999994</v>
      </c>
      <c r="S175" s="52" t="b">
        <v>1</v>
      </c>
      <c r="T175" s="52">
        <v>3</v>
      </c>
      <c r="U175" s="52">
        <v>20</v>
      </c>
    </row>
    <row r="176" spans="1:21" x14ac:dyDescent="0.25">
      <c r="A176" s="52">
        <v>37</v>
      </c>
      <c r="B176" s="52" t="s">
        <v>56</v>
      </c>
      <c r="C176" s="52" t="b">
        <v>0</v>
      </c>
      <c r="D176" s="52" t="s">
        <v>240</v>
      </c>
      <c r="E176" s="52" t="s">
        <v>42</v>
      </c>
      <c r="F176" s="52" t="s">
        <v>38</v>
      </c>
      <c r="G176" s="52" t="s">
        <v>13</v>
      </c>
      <c r="H176" s="52" t="s">
        <v>39</v>
      </c>
      <c r="I176" s="52" t="s">
        <v>47</v>
      </c>
      <c r="J176" s="52">
        <v>2.6728429909451394</v>
      </c>
      <c r="K176" s="52" t="s">
        <v>160</v>
      </c>
      <c r="L176" s="52" t="s">
        <v>160</v>
      </c>
      <c r="M176" s="52">
        <v>29.748730576024109</v>
      </c>
      <c r="N176" s="52">
        <v>0.93171518485622062</v>
      </c>
      <c r="O176" s="52">
        <v>29.748730576024109</v>
      </c>
      <c r="P176" s="52" t="s">
        <v>160</v>
      </c>
      <c r="Q176" s="52" t="b">
        <v>0</v>
      </c>
      <c r="R176" s="52">
        <v>46910.862999999998</v>
      </c>
      <c r="S176" s="52" t="b">
        <v>1</v>
      </c>
      <c r="T176" s="52">
        <v>3</v>
      </c>
      <c r="U176" s="52">
        <v>23</v>
      </c>
    </row>
    <row r="177" spans="1:21" x14ac:dyDescent="0.25">
      <c r="A177" s="52">
        <v>37</v>
      </c>
      <c r="B177" s="52" t="s">
        <v>56</v>
      </c>
      <c r="C177" s="52" t="b">
        <v>0</v>
      </c>
      <c r="D177" s="52" t="s">
        <v>240</v>
      </c>
      <c r="E177" s="52" t="s">
        <v>43</v>
      </c>
      <c r="F177" s="52" t="s">
        <v>38</v>
      </c>
      <c r="G177" s="52" t="s">
        <v>12</v>
      </c>
      <c r="H177" s="52" t="s">
        <v>39</v>
      </c>
      <c r="I177" s="52" t="s">
        <v>40</v>
      </c>
      <c r="J177" s="52">
        <v>0</v>
      </c>
      <c r="K177" s="52" t="s">
        <v>160</v>
      </c>
      <c r="L177" s="52" t="s">
        <v>160</v>
      </c>
      <c r="M177" s="52" t="s">
        <v>41</v>
      </c>
      <c r="N177" s="52">
        <v>0</v>
      </c>
      <c r="O177" s="52" t="s">
        <v>160</v>
      </c>
      <c r="P177" s="52" t="s">
        <v>160</v>
      </c>
      <c r="Q177" s="52" t="b">
        <v>0</v>
      </c>
      <c r="R177" s="52">
        <v>69932.437000000005</v>
      </c>
      <c r="S177" s="52" t="b">
        <v>1</v>
      </c>
      <c r="T177" s="52">
        <v>3</v>
      </c>
      <c r="U177" s="52">
        <v>49</v>
      </c>
    </row>
    <row r="178" spans="1:21" x14ac:dyDescent="0.25">
      <c r="A178" s="52">
        <v>37</v>
      </c>
      <c r="B178" s="52" t="s">
        <v>56</v>
      </c>
      <c r="C178" s="52" t="b">
        <v>0</v>
      </c>
      <c r="D178" s="52" t="s">
        <v>240</v>
      </c>
      <c r="E178" s="52" t="s">
        <v>44</v>
      </c>
      <c r="F178" s="52" t="s">
        <v>38</v>
      </c>
      <c r="G178" s="52" t="s">
        <v>14</v>
      </c>
      <c r="H178" s="52" t="s">
        <v>39</v>
      </c>
      <c r="I178" s="52" t="s">
        <v>47</v>
      </c>
      <c r="J178" s="52">
        <v>2.5648910779401466</v>
      </c>
      <c r="K178" s="52" t="s">
        <v>160</v>
      </c>
      <c r="L178" s="52" t="s">
        <v>160</v>
      </c>
      <c r="M178" s="52">
        <v>25.729278390992441</v>
      </c>
      <c r="N178" s="52">
        <v>0.9229515673742299</v>
      </c>
      <c r="O178" s="52">
        <v>25.729278390992441</v>
      </c>
      <c r="P178" s="52" t="s">
        <v>160</v>
      </c>
      <c r="Q178" s="52" t="b">
        <v>0</v>
      </c>
      <c r="R178" s="52">
        <v>47660.913</v>
      </c>
      <c r="S178" s="52" t="b">
        <v>1</v>
      </c>
      <c r="T178" s="52">
        <v>3</v>
      </c>
      <c r="U178" s="52">
        <v>17</v>
      </c>
    </row>
    <row r="179" spans="1:21" x14ac:dyDescent="0.25">
      <c r="A179" s="52">
        <v>37</v>
      </c>
      <c r="B179" s="52" t="s">
        <v>56</v>
      </c>
      <c r="C179" s="52" t="b">
        <v>0</v>
      </c>
      <c r="D179" s="52" t="s">
        <v>240</v>
      </c>
      <c r="E179" s="52" t="s">
        <v>45</v>
      </c>
      <c r="F179" s="52" t="s">
        <v>38</v>
      </c>
      <c r="G179" s="52" t="s">
        <v>10</v>
      </c>
      <c r="H179" s="52" t="s">
        <v>39</v>
      </c>
      <c r="I179" s="52" t="s">
        <v>40</v>
      </c>
      <c r="J179" s="52">
        <v>2.1057588308161606</v>
      </c>
      <c r="K179" s="52" t="s">
        <v>160</v>
      </c>
      <c r="L179" s="52" t="s">
        <v>160</v>
      </c>
      <c r="M179" s="52" t="s">
        <v>41</v>
      </c>
      <c r="N179" s="52">
        <v>0</v>
      </c>
      <c r="O179" s="52" t="s">
        <v>160</v>
      </c>
      <c r="P179" s="52" t="s">
        <v>160</v>
      </c>
      <c r="Q179" s="52" t="b">
        <v>0</v>
      </c>
      <c r="R179" s="52">
        <v>161088.065</v>
      </c>
      <c r="S179" s="52" t="b">
        <v>1</v>
      </c>
      <c r="T179" s="52">
        <v>3</v>
      </c>
      <c r="U179" s="52">
        <v>49</v>
      </c>
    </row>
    <row r="180" spans="1:21" x14ac:dyDescent="0.25">
      <c r="A180" s="52">
        <v>38</v>
      </c>
      <c r="B180" s="52" t="s">
        <v>57</v>
      </c>
      <c r="C180" s="52" t="b">
        <v>0</v>
      </c>
      <c r="D180" s="52" t="s">
        <v>241</v>
      </c>
      <c r="E180" s="52" t="s">
        <v>37</v>
      </c>
      <c r="F180" s="52" t="s">
        <v>38</v>
      </c>
      <c r="G180" s="52" t="s">
        <v>11</v>
      </c>
      <c r="H180" s="52" t="s">
        <v>39</v>
      </c>
      <c r="I180" s="52" t="s">
        <v>47</v>
      </c>
      <c r="J180" s="52">
        <v>0</v>
      </c>
      <c r="K180" s="52" t="s">
        <v>160</v>
      </c>
      <c r="L180" s="52" t="s">
        <v>160</v>
      </c>
      <c r="M180" s="52">
        <v>28.453333587386119</v>
      </c>
      <c r="N180" s="52">
        <v>0.97371770084864606</v>
      </c>
      <c r="O180" s="52">
        <v>28.453333587386119</v>
      </c>
      <c r="P180" s="52" t="s">
        <v>160</v>
      </c>
      <c r="Q180" s="52" t="b">
        <v>0</v>
      </c>
      <c r="R180" s="52">
        <v>74142.899999999994</v>
      </c>
      <c r="S180" s="52" t="b">
        <v>1</v>
      </c>
      <c r="T180" s="52">
        <v>3</v>
      </c>
      <c r="U180" s="52">
        <v>20</v>
      </c>
    </row>
    <row r="181" spans="1:21" x14ac:dyDescent="0.25">
      <c r="A181" s="52">
        <v>38</v>
      </c>
      <c r="B181" s="52" t="s">
        <v>57</v>
      </c>
      <c r="C181" s="52" t="b">
        <v>0</v>
      </c>
      <c r="D181" s="52" t="s">
        <v>241</v>
      </c>
      <c r="E181" s="52" t="s">
        <v>42</v>
      </c>
      <c r="F181" s="52" t="s">
        <v>38</v>
      </c>
      <c r="G181" s="52" t="s">
        <v>13</v>
      </c>
      <c r="H181" s="52" t="s">
        <v>39</v>
      </c>
      <c r="I181" s="52" t="s">
        <v>47</v>
      </c>
      <c r="J181" s="52">
        <v>2.6712748713603465</v>
      </c>
      <c r="K181" s="52" t="s">
        <v>160</v>
      </c>
      <c r="L181" s="52" t="s">
        <v>160</v>
      </c>
      <c r="M181" s="52">
        <v>30.925166087425602</v>
      </c>
      <c r="N181" s="52">
        <v>0.8918780737977986</v>
      </c>
      <c r="O181" s="52">
        <v>30.925166087425602</v>
      </c>
      <c r="P181" s="52" t="s">
        <v>160</v>
      </c>
      <c r="Q181" s="52" t="b">
        <v>0</v>
      </c>
      <c r="R181" s="52">
        <v>46910.862999999998</v>
      </c>
      <c r="S181" s="52" t="b">
        <v>1</v>
      </c>
      <c r="T181" s="52">
        <v>3</v>
      </c>
      <c r="U181" s="52">
        <v>23</v>
      </c>
    </row>
    <row r="182" spans="1:21" x14ac:dyDescent="0.25">
      <c r="A182" s="52">
        <v>38</v>
      </c>
      <c r="B182" s="52" t="s">
        <v>57</v>
      </c>
      <c r="C182" s="52" t="b">
        <v>0</v>
      </c>
      <c r="D182" s="52" t="s">
        <v>241</v>
      </c>
      <c r="E182" s="52" t="s">
        <v>43</v>
      </c>
      <c r="F182" s="52" t="s">
        <v>38</v>
      </c>
      <c r="G182" s="52" t="s">
        <v>12</v>
      </c>
      <c r="H182" s="52" t="s">
        <v>39</v>
      </c>
      <c r="I182" s="52" t="s">
        <v>139</v>
      </c>
      <c r="J182" s="52">
        <v>0</v>
      </c>
      <c r="K182" s="52" t="s">
        <v>160</v>
      </c>
      <c r="L182" s="52" t="s">
        <v>160</v>
      </c>
      <c r="M182" s="52" t="s">
        <v>41</v>
      </c>
      <c r="N182" s="52">
        <v>0</v>
      </c>
      <c r="O182" s="52" t="s">
        <v>160</v>
      </c>
      <c r="P182" s="52" t="s">
        <v>160</v>
      </c>
      <c r="Q182" s="52" t="b">
        <v>0</v>
      </c>
      <c r="R182" s="52">
        <v>69932.437000000005</v>
      </c>
      <c r="S182" s="52" t="b">
        <v>1</v>
      </c>
      <c r="T182" s="52">
        <v>3</v>
      </c>
      <c r="U182" s="52">
        <v>49</v>
      </c>
    </row>
    <row r="183" spans="1:21" x14ac:dyDescent="0.25">
      <c r="A183" s="52">
        <v>38</v>
      </c>
      <c r="B183" s="52" t="s">
        <v>57</v>
      </c>
      <c r="C183" s="52" t="b">
        <v>0</v>
      </c>
      <c r="D183" s="52" t="s">
        <v>241</v>
      </c>
      <c r="E183" s="52" t="s">
        <v>44</v>
      </c>
      <c r="F183" s="52" t="s">
        <v>38</v>
      </c>
      <c r="G183" s="52" t="s">
        <v>14</v>
      </c>
      <c r="H183" s="52" t="s">
        <v>39</v>
      </c>
      <c r="I183" s="52" t="s">
        <v>47</v>
      </c>
      <c r="J183" s="52">
        <v>2.5814003401395964</v>
      </c>
      <c r="K183" s="52" t="s">
        <v>160</v>
      </c>
      <c r="L183" s="52" t="s">
        <v>160</v>
      </c>
      <c r="M183" s="52">
        <v>25.99550798838866</v>
      </c>
      <c r="N183" s="52">
        <v>0.94287633754261546</v>
      </c>
      <c r="O183" s="52">
        <v>25.99550798838866</v>
      </c>
      <c r="P183" s="52" t="s">
        <v>160</v>
      </c>
      <c r="Q183" s="52" t="b">
        <v>0</v>
      </c>
      <c r="R183" s="52">
        <v>47660.913</v>
      </c>
      <c r="S183" s="52" t="b">
        <v>1</v>
      </c>
      <c r="T183" s="52">
        <v>3</v>
      </c>
      <c r="U183" s="52">
        <v>17</v>
      </c>
    </row>
    <row r="184" spans="1:21" x14ac:dyDescent="0.25">
      <c r="A184" s="52">
        <v>38</v>
      </c>
      <c r="B184" s="52" t="s">
        <v>57</v>
      </c>
      <c r="C184" s="52" t="b">
        <v>0</v>
      </c>
      <c r="D184" s="52" t="s">
        <v>241</v>
      </c>
      <c r="E184" s="52" t="s">
        <v>45</v>
      </c>
      <c r="F184" s="52" t="s">
        <v>38</v>
      </c>
      <c r="G184" s="52" t="s">
        <v>10</v>
      </c>
      <c r="H184" s="52" t="s">
        <v>39</v>
      </c>
      <c r="I184" s="52" t="s">
        <v>139</v>
      </c>
      <c r="J184" s="52">
        <v>2.2774103299965152</v>
      </c>
      <c r="K184" s="52" t="s">
        <v>160</v>
      </c>
      <c r="L184" s="52" t="s">
        <v>160</v>
      </c>
      <c r="M184" s="52" t="s">
        <v>41</v>
      </c>
      <c r="N184" s="52">
        <v>0</v>
      </c>
      <c r="O184" s="52" t="s">
        <v>160</v>
      </c>
      <c r="P184" s="52" t="s">
        <v>160</v>
      </c>
      <c r="Q184" s="52" t="b">
        <v>0</v>
      </c>
      <c r="R184" s="52">
        <v>161088.065</v>
      </c>
      <c r="S184" s="52" t="b">
        <v>1</v>
      </c>
      <c r="T184" s="52">
        <v>3</v>
      </c>
      <c r="U184" s="52">
        <v>49</v>
      </c>
    </row>
    <row r="185" spans="1:21" x14ac:dyDescent="0.25">
      <c r="A185" s="52">
        <v>39</v>
      </c>
      <c r="B185" s="52" t="s">
        <v>58</v>
      </c>
      <c r="C185" s="52" t="b">
        <v>0</v>
      </c>
      <c r="D185" s="52" t="s">
        <v>242</v>
      </c>
      <c r="E185" s="52" t="s">
        <v>37</v>
      </c>
      <c r="F185" s="52" t="s">
        <v>38</v>
      </c>
      <c r="G185" s="52" t="s">
        <v>11</v>
      </c>
      <c r="H185" s="52" t="s">
        <v>39</v>
      </c>
      <c r="I185" s="52" t="s">
        <v>47</v>
      </c>
      <c r="J185" s="52">
        <v>2.7336738919121975</v>
      </c>
      <c r="K185" s="52" t="s">
        <v>160</v>
      </c>
      <c r="L185" s="52" t="s">
        <v>160</v>
      </c>
      <c r="M185" s="52">
        <v>28.699967100971378</v>
      </c>
      <c r="N185" s="52">
        <v>0.96989938823866484</v>
      </c>
      <c r="O185" s="52">
        <v>28.699967100971378</v>
      </c>
      <c r="P185" s="52" t="s">
        <v>160</v>
      </c>
      <c r="Q185" s="52" t="b">
        <v>0</v>
      </c>
      <c r="R185" s="52">
        <v>74142.899999999994</v>
      </c>
      <c r="S185" s="52" t="b">
        <v>1</v>
      </c>
      <c r="T185" s="52">
        <v>3</v>
      </c>
      <c r="U185" s="52">
        <v>21</v>
      </c>
    </row>
    <row r="186" spans="1:21" x14ac:dyDescent="0.25">
      <c r="A186" s="52">
        <v>39</v>
      </c>
      <c r="B186" s="52" t="s">
        <v>58</v>
      </c>
      <c r="C186" s="52" t="b">
        <v>0</v>
      </c>
      <c r="D186" s="52" t="s">
        <v>242</v>
      </c>
      <c r="E186" s="52" t="s">
        <v>42</v>
      </c>
      <c r="F186" s="52" t="s">
        <v>38</v>
      </c>
      <c r="G186" s="52" t="s">
        <v>13</v>
      </c>
      <c r="H186" s="52" t="s">
        <v>39</v>
      </c>
      <c r="I186" s="52" t="s">
        <v>47</v>
      </c>
      <c r="J186" s="52">
        <v>2.6777279751070768</v>
      </c>
      <c r="K186" s="52" t="s">
        <v>160</v>
      </c>
      <c r="L186" s="52" t="s">
        <v>160</v>
      </c>
      <c r="M186" s="52">
        <v>31.096762657366021</v>
      </c>
      <c r="N186" s="52">
        <v>0.91376914906167395</v>
      </c>
      <c r="O186" s="52">
        <v>31.096762657366021</v>
      </c>
      <c r="P186" s="52" t="s">
        <v>160</v>
      </c>
      <c r="Q186" s="52" t="b">
        <v>0</v>
      </c>
      <c r="R186" s="52">
        <v>46910.862999999998</v>
      </c>
      <c r="S186" s="52" t="b">
        <v>1</v>
      </c>
      <c r="T186" s="52">
        <v>3</v>
      </c>
      <c r="U186" s="52">
        <v>24</v>
      </c>
    </row>
    <row r="187" spans="1:21" x14ac:dyDescent="0.25">
      <c r="A187" s="52">
        <v>39</v>
      </c>
      <c r="B187" s="52" t="s">
        <v>58</v>
      </c>
      <c r="C187" s="52" t="b">
        <v>0</v>
      </c>
      <c r="D187" s="52" t="s">
        <v>242</v>
      </c>
      <c r="E187" s="52" t="s">
        <v>43</v>
      </c>
      <c r="F187" s="52" t="s">
        <v>38</v>
      </c>
      <c r="G187" s="52" t="s">
        <v>12</v>
      </c>
      <c r="H187" s="52" t="s">
        <v>39</v>
      </c>
      <c r="I187" s="52" t="s">
        <v>139</v>
      </c>
      <c r="J187" s="52">
        <v>0</v>
      </c>
      <c r="K187" s="52" t="s">
        <v>160</v>
      </c>
      <c r="L187" s="52" t="s">
        <v>160</v>
      </c>
      <c r="M187" s="52" t="s">
        <v>41</v>
      </c>
      <c r="N187" s="52">
        <v>0</v>
      </c>
      <c r="O187" s="52" t="s">
        <v>160</v>
      </c>
      <c r="P187" s="52" t="s">
        <v>160</v>
      </c>
      <c r="Q187" s="52" t="b">
        <v>0</v>
      </c>
      <c r="R187" s="52">
        <v>69932.437000000005</v>
      </c>
      <c r="S187" s="52" t="b">
        <v>1</v>
      </c>
      <c r="T187" s="52">
        <v>3</v>
      </c>
      <c r="U187" s="52">
        <v>49</v>
      </c>
    </row>
    <row r="188" spans="1:21" x14ac:dyDescent="0.25">
      <c r="A188" s="52">
        <v>39</v>
      </c>
      <c r="B188" s="52" t="s">
        <v>58</v>
      </c>
      <c r="C188" s="52" t="b">
        <v>0</v>
      </c>
      <c r="D188" s="52" t="s">
        <v>242</v>
      </c>
      <c r="E188" s="52" t="s">
        <v>44</v>
      </c>
      <c r="F188" s="52" t="s">
        <v>38</v>
      </c>
      <c r="G188" s="52" t="s">
        <v>14</v>
      </c>
      <c r="H188" s="52" t="s">
        <v>39</v>
      </c>
      <c r="I188" s="52" t="s">
        <v>47</v>
      </c>
      <c r="J188" s="52">
        <v>2.6275844477078318</v>
      </c>
      <c r="K188" s="52" t="s">
        <v>160</v>
      </c>
      <c r="L188" s="52" t="s">
        <v>160</v>
      </c>
      <c r="M188" s="52">
        <v>25.120519798679403</v>
      </c>
      <c r="N188" s="52">
        <v>0.90651797234207887</v>
      </c>
      <c r="O188" s="52">
        <v>25.120519798679403</v>
      </c>
      <c r="P188" s="52" t="s">
        <v>160</v>
      </c>
      <c r="Q188" s="52" t="b">
        <v>0</v>
      </c>
      <c r="R188" s="52">
        <v>47660.913</v>
      </c>
      <c r="S188" s="52" t="b">
        <v>1</v>
      </c>
      <c r="T188" s="52">
        <v>3</v>
      </c>
      <c r="U188" s="52">
        <v>18</v>
      </c>
    </row>
    <row r="189" spans="1:21" x14ac:dyDescent="0.25">
      <c r="A189" s="52">
        <v>39</v>
      </c>
      <c r="B189" s="52" t="s">
        <v>58</v>
      </c>
      <c r="C189" s="52" t="b">
        <v>0</v>
      </c>
      <c r="D189" s="52" t="s">
        <v>242</v>
      </c>
      <c r="E189" s="52" t="s">
        <v>45</v>
      </c>
      <c r="F189" s="52" t="s">
        <v>38</v>
      </c>
      <c r="G189" s="52" t="s">
        <v>10</v>
      </c>
      <c r="H189" s="52" t="s">
        <v>39</v>
      </c>
      <c r="I189" s="52" t="s">
        <v>139</v>
      </c>
      <c r="J189" s="52">
        <v>0</v>
      </c>
      <c r="K189" s="52" t="s">
        <v>160</v>
      </c>
      <c r="L189" s="52" t="s">
        <v>160</v>
      </c>
      <c r="M189" s="52" t="s">
        <v>41</v>
      </c>
      <c r="N189" s="52">
        <v>0</v>
      </c>
      <c r="O189" s="52" t="s">
        <v>160</v>
      </c>
      <c r="P189" s="52" t="s">
        <v>160</v>
      </c>
      <c r="Q189" s="52" t="b">
        <v>0</v>
      </c>
      <c r="R189" s="52">
        <v>161088.065</v>
      </c>
      <c r="S189" s="52" t="b">
        <v>1</v>
      </c>
      <c r="T189" s="52">
        <v>3</v>
      </c>
      <c r="U189" s="52">
        <v>49</v>
      </c>
    </row>
    <row r="190" spans="1:21" x14ac:dyDescent="0.25">
      <c r="A190" s="52">
        <v>40</v>
      </c>
      <c r="B190" s="52" t="s">
        <v>59</v>
      </c>
      <c r="C190" s="52" t="b">
        <v>0</v>
      </c>
      <c r="D190" s="52" t="s">
        <v>243</v>
      </c>
      <c r="E190" s="52" t="s">
        <v>37</v>
      </c>
      <c r="F190" s="52" t="s">
        <v>38</v>
      </c>
      <c r="G190" s="52" t="s">
        <v>11</v>
      </c>
      <c r="H190" s="52" t="s">
        <v>39</v>
      </c>
      <c r="I190" s="52" t="s">
        <v>47</v>
      </c>
      <c r="J190" s="52">
        <v>2.7264964397837166</v>
      </c>
      <c r="K190" s="52" t="s">
        <v>160</v>
      </c>
      <c r="L190" s="52" t="s">
        <v>160</v>
      </c>
      <c r="M190" s="52">
        <v>28.991617073860695</v>
      </c>
      <c r="N190" s="52">
        <v>0.95486423030949485</v>
      </c>
      <c r="O190" s="52">
        <v>28.991617073860695</v>
      </c>
      <c r="P190" s="52" t="s">
        <v>160</v>
      </c>
      <c r="Q190" s="52" t="b">
        <v>0</v>
      </c>
      <c r="R190" s="52">
        <v>74142.899999999994</v>
      </c>
      <c r="S190" s="52" t="b">
        <v>1</v>
      </c>
      <c r="T190" s="52">
        <v>3</v>
      </c>
      <c r="U190" s="52">
        <v>21</v>
      </c>
    </row>
    <row r="191" spans="1:21" x14ac:dyDescent="0.25">
      <c r="A191" s="52">
        <v>40</v>
      </c>
      <c r="B191" s="52" t="s">
        <v>59</v>
      </c>
      <c r="C191" s="52" t="b">
        <v>0</v>
      </c>
      <c r="D191" s="52" t="s">
        <v>243</v>
      </c>
      <c r="E191" s="52" t="s">
        <v>42</v>
      </c>
      <c r="F191" s="52" t="s">
        <v>38</v>
      </c>
      <c r="G191" s="52" t="s">
        <v>13</v>
      </c>
      <c r="H191" s="52" t="s">
        <v>39</v>
      </c>
      <c r="I191" s="52" t="s">
        <v>47</v>
      </c>
      <c r="J191" s="52">
        <v>2.6741936296005981</v>
      </c>
      <c r="K191" s="52" t="s">
        <v>160</v>
      </c>
      <c r="L191" s="52" t="s">
        <v>160</v>
      </c>
      <c r="M191" s="52">
        <v>31.001293713299695</v>
      </c>
      <c r="N191" s="52">
        <v>0.83114178648527859</v>
      </c>
      <c r="O191" s="52">
        <v>31.001293713299695</v>
      </c>
      <c r="P191" s="52" t="s">
        <v>160</v>
      </c>
      <c r="Q191" s="52" t="b">
        <v>0</v>
      </c>
      <c r="R191" s="52">
        <v>46910.862999999998</v>
      </c>
      <c r="S191" s="52" t="b">
        <v>1</v>
      </c>
      <c r="T191" s="52">
        <v>3</v>
      </c>
      <c r="U191" s="52">
        <v>25</v>
      </c>
    </row>
    <row r="192" spans="1:21" x14ac:dyDescent="0.25">
      <c r="A192" s="52">
        <v>40</v>
      </c>
      <c r="B192" s="52" t="s">
        <v>59</v>
      </c>
      <c r="C192" s="52" t="b">
        <v>0</v>
      </c>
      <c r="D192" s="52" t="s">
        <v>243</v>
      </c>
      <c r="E192" s="52" t="s">
        <v>43</v>
      </c>
      <c r="F192" s="52" t="s">
        <v>38</v>
      </c>
      <c r="G192" s="52" t="s">
        <v>12</v>
      </c>
      <c r="H192" s="52" t="s">
        <v>39</v>
      </c>
      <c r="I192" s="52" t="s">
        <v>40</v>
      </c>
      <c r="J192" s="52">
        <v>0</v>
      </c>
      <c r="K192" s="52" t="s">
        <v>160</v>
      </c>
      <c r="L192" s="52" t="s">
        <v>160</v>
      </c>
      <c r="M192" s="52" t="s">
        <v>41</v>
      </c>
      <c r="N192" s="52">
        <v>0</v>
      </c>
      <c r="O192" s="52" t="s">
        <v>160</v>
      </c>
      <c r="P192" s="52" t="s">
        <v>160</v>
      </c>
      <c r="Q192" s="52" t="b">
        <v>0</v>
      </c>
      <c r="R192" s="52">
        <v>69932.437000000005</v>
      </c>
      <c r="S192" s="52" t="b">
        <v>1</v>
      </c>
      <c r="T192" s="52">
        <v>3</v>
      </c>
      <c r="U192" s="52">
        <v>49</v>
      </c>
    </row>
    <row r="193" spans="1:21" x14ac:dyDescent="0.25">
      <c r="A193" s="52">
        <v>40</v>
      </c>
      <c r="B193" s="52" t="s">
        <v>59</v>
      </c>
      <c r="C193" s="52" t="b">
        <v>0</v>
      </c>
      <c r="D193" s="52" t="s">
        <v>243</v>
      </c>
      <c r="E193" s="52" t="s">
        <v>44</v>
      </c>
      <c r="F193" s="52" t="s">
        <v>38</v>
      </c>
      <c r="G193" s="52" t="s">
        <v>14</v>
      </c>
      <c r="H193" s="52" t="s">
        <v>39</v>
      </c>
      <c r="I193" s="52" t="s">
        <v>47</v>
      </c>
      <c r="J193" s="52">
        <v>2.615416614820298</v>
      </c>
      <c r="K193" s="52" t="s">
        <v>160</v>
      </c>
      <c r="L193" s="52" t="s">
        <v>160</v>
      </c>
      <c r="M193" s="52">
        <v>26.947431969378222</v>
      </c>
      <c r="N193" s="52">
        <v>0.8684473127263681</v>
      </c>
      <c r="O193" s="52">
        <v>26.947431969378222</v>
      </c>
      <c r="P193" s="52" t="s">
        <v>160</v>
      </c>
      <c r="Q193" s="52" t="b">
        <v>0</v>
      </c>
      <c r="R193" s="52">
        <v>47660.913</v>
      </c>
      <c r="S193" s="52" t="b">
        <v>1</v>
      </c>
      <c r="T193" s="52">
        <v>3</v>
      </c>
      <c r="U193" s="52">
        <v>19</v>
      </c>
    </row>
    <row r="194" spans="1:21" x14ac:dyDescent="0.25">
      <c r="A194" s="52">
        <v>40</v>
      </c>
      <c r="B194" s="52" t="s">
        <v>59</v>
      </c>
      <c r="C194" s="52" t="b">
        <v>0</v>
      </c>
      <c r="D194" s="52" t="s">
        <v>243</v>
      </c>
      <c r="E194" s="52" t="s">
        <v>45</v>
      </c>
      <c r="F194" s="52" t="s">
        <v>38</v>
      </c>
      <c r="G194" s="52" t="s">
        <v>10</v>
      </c>
      <c r="H194" s="52" t="s">
        <v>39</v>
      </c>
      <c r="I194" s="52" t="s">
        <v>40</v>
      </c>
      <c r="J194" s="52">
        <v>0</v>
      </c>
      <c r="K194" s="52" t="s">
        <v>160</v>
      </c>
      <c r="L194" s="52" t="s">
        <v>160</v>
      </c>
      <c r="M194" s="52" t="s">
        <v>41</v>
      </c>
      <c r="N194" s="52">
        <v>0</v>
      </c>
      <c r="O194" s="52" t="s">
        <v>160</v>
      </c>
      <c r="P194" s="52" t="s">
        <v>160</v>
      </c>
      <c r="Q194" s="52" t="b">
        <v>0</v>
      </c>
      <c r="R194" s="52">
        <v>161088.065</v>
      </c>
      <c r="S194" s="52" t="b">
        <v>1</v>
      </c>
      <c r="T194" s="52">
        <v>3</v>
      </c>
      <c r="U194" s="52">
        <v>49</v>
      </c>
    </row>
    <row r="195" spans="1:21" x14ac:dyDescent="0.25">
      <c r="A195" s="52">
        <v>41</v>
      </c>
      <c r="B195" s="52" t="s">
        <v>60</v>
      </c>
      <c r="C195" s="52" t="b">
        <v>0</v>
      </c>
      <c r="D195" s="52" t="s">
        <v>244</v>
      </c>
      <c r="E195" s="52" t="s">
        <v>37</v>
      </c>
      <c r="F195" s="52" t="s">
        <v>38</v>
      </c>
      <c r="G195" s="52" t="s">
        <v>11</v>
      </c>
      <c r="H195" s="52" t="s">
        <v>39</v>
      </c>
      <c r="I195" s="52" t="s">
        <v>47</v>
      </c>
      <c r="J195" s="52">
        <v>0</v>
      </c>
      <c r="K195" s="52" t="s">
        <v>160</v>
      </c>
      <c r="L195" s="52" t="s">
        <v>160</v>
      </c>
      <c r="M195" s="52">
        <v>27.7409587232113</v>
      </c>
      <c r="N195" s="52">
        <v>0.97822705866720472</v>
      </c>
      <c r="O195" s="52">
        <v>27.7409587232113</v>
      </c>
      <c r="P195" s="52" t="s">
        <v>160</v>
      </c>
      <c r="Q195" s="52" t="b">
        <v>0</v>
      </c>
      <c r="R195" s="52">
        <v>74142.899999999994</v>
      </c>
      <c r="S195" s="52" t="b">
        <v>1</v>
      </c>
      <c r="T195" s="52">
        <v>3</v>
      </c>
      <c r="U195" s="52">
        <v>19</v>
      </c>
    </row>
    <row r="196" spans="1:21" x14ac:dyDescent="0.25">
      <c r="A196" s="52">
        <v>41</v>
      </c>
      <c r="B196" s="52" t="s">
        <v>60</v>
      </c>
      <c r="C196" s="52" t="b">
        <v>0</v>
      </c>
      <c r="D196" s="52" t="s">
        <v>244</v>
      </c>
      <c r="E196" s="52" t="s">
        <v>42</v>
      </c>
      <c r="F196" s="52" t="s">
        <v>38</v>
      </c>
      <c r="G196" s="52" t="s">
        <v>13</v>
      </c>
      <c r="H196" s="52" t="s">
        <v>39</v>
      </c>
      <c r="I196" s="52" t="s">
        <v>47</v>
      </c>
      <c r="J196" s="52">
        <v>2.7082649198321613</v>
      </c>
      <c r="K196" s="52" t="s">
        <v>160</v>
      </c>
      <c r="L196" s="52" t="s">
        <v>160</v>
      </c>
      <c r="M196" s="52">
        <v>30.089038134847087</v>
      </c>
      <c r="N196" s="52">
        <v>0.96306481838275937</v>
      </c>
      <c r="O196" s="52">
        <v>30.089038134847087</v>
      </c>
      <c r="P196" s="52" t="s">
        <v>160</v>
      </c>
      <c r="Q196" s="52" t="b">
        <v>0</v>
      </c>
      <c r="R196" s="52">
        <v>46910.862999999998</v>
      </c>
      <c r="S196" s="52" t="b">
        <v>1</v>
      </c>
      <c r="T196" s="52">
        <v>3</v>
      </c>
      <c r="U196" s="52">
        <v>24</v>
      </c>
    </row>
    <row r="197" spans="1:21" x14ac:dyDescent="0.25">
      <c r="A197" s="52">
        <v>41</v>
      </c>
      <c r="B197" s="52" t="s">
        <v>60</v>
      </c>
      <c r="C197" s="52" t="b">
        <v>0</v>
      </c>
      <c r="D197" s="52" t="s">
        <v>244</v>
      </c>
      <c r="E197" s="52" t="s">
        <v>43</v>
      </c>
      <c r="F197" s="52" t="s">
        <v>38</v>
      </c>
      <c r="G197" s="52" t="s">
        <v>12</v>
      </c>
      <c r="H197" s="52" t="s">
        <v>39</v>
      </c>
      <c r="I197" s="52" t="s">
        <v>139</v>
      </c>
      <c r="J197" s="52">
        <v>0</v>
      </c>
      <c r="K197" s="52" t="s">
        <v>160</v>
      </c>
      <c r="L197" s="52" t="s">
        <v>160</v>
      </c>
      <c r="M197" s="52" t="s">
        <v>41</v>
      </c>
      <c r="N197" s="52">
        <v>0</v>
      </c>
      <c r="O197" s="52" t="s">
        <v>160</v>
      </c>
      <c r="P197" s="52" t="s">
        <v>160</v>
      </c>
      <c r="Q197" s="52" t="b">
        <v>0</v>
      </c>
      <c r="R197" s="52">
        <v>69932.437000000005</v>
      </c>
      <c r="S197" s="52" t="b">
        <v>1</v>
      </c>
      <c r="T197" s="52">
        <v>3</v>
      </c>
      <c r="U197" s="52">
        <v>49</v>
      </c>
    </row>
    <row r="198" spans="1:21" x14ac:dyDescent="0.25">
      <c r="A198" s="52">
        <v>41</v>
      </c>
      <c r="B198" s="52" t="s">
        <v>60</v>
      </c>
      <c r="C198" s="52" t="b">
        <v>0</v>
      </c>
      <c r="D198" s="52" t="s">
        <v>244</v>
      </c>
      <c r="E198" s="52" t="s">
        <v>44</v>
      </c>
      <c r="F198" s="52" t="s">
        <v>38</v>
      </c>
      <c r="G198" s="52" t="s">
        <v>14</v>
      </c>
      <c r="H198" s="52" t="s">
        <v>39</v>
      </c>
      <c r="I198" s="52" t="s">
        <v>47</v>
      </c>
      <c r="J198" s="52">
        <v>2.6663878323427403</v>
      </c>
      <c r="K198" s="52" t="s">
        <v>160</v>
      </c>
      <c r="L198" s="52" t="s">
        <v>160</v>
      </c>
      <c r="M198" s="52">
        <v>26.183358060005531</v>
      </c>
      <c r="N198" s="52">
        <v>0.91953941051932264</v>
      </c>
      <c r="O198" s="52">
        <v>26.183358060005531</v>
      </c>
      <c r="P198" s="52" t="s">
        <v>160</v>
      </c>
      <c r="Q198" s="52" t="b">
        <v>0</v>
      </c>
      <c r="R198" s="52">
        <v>47660.913</v>
      </c>
      <c r="S198" s="52" t="b">
        <v>1</v>
      </c>
      <c r="T198" s="52">
        <v>3</v>
      </c>
      <c r="U198" s="52">
        <v>19</v>
      </c>
    </row>
    <row r="199" spans="1:21" x14ac:dyDescent="0.25">
      <c r="A199" s="52">
        <v>41</v>
      </c>
      <c r="B199" s="52" t="s">
        <v>60</v>
      </c>
      <c r="C199" s="52" t="b">
        <v>0</v>
      </c>
      <c r="D199" s="52" t="s">
        <v>244</v>
      </c>
      <c r="E199" s="52" t="s">
        <v>45</v>
      </c>
      <c r="F199" s="52" t="s">
        <v>38</v>
      </c>
      <c r="G199" s="52" t="s">
        <v>10</v>
      </c>
      <c r="H199" s="52" t="s">
        <v>39</v>
      </c>
      <c r="I199" s="52" t="s">
        <v>139</v>
      </c>
      <c r="J199" s="52">
        <v>0</v>
      </c>
      <c r="K199" s="52" t="s">
        <v>160</v>
      </c>
      <c r="L199" s="52" t="s">
        <v>160</v>
      </c>
      <c r="M199" s="52" t="s">
        <v>41</v>
      </c>
      <c r="N199" s="52">
        <v>0</v>
      </c>
      <c r="O199" s="52" t="s">
        <v>160</v>
      </c>
      <c r="P199" s="52" t="s">
        <v>160</v>
      </c>
      <c r="Q199" s="52" t="b">
        <v>0</v>
      </c>
      <c r="R199" s="52">
        <v>161088.065</v>
      </c>
      <c r="S199" s="52" t="b">
        <v>1</v>
      </c>
      <c r="T199" s="52">
        <v>3</v>
      </c>
      <c r="U199" s="52">
        <v>49</v>
      </c>
    </row>
    <row r="200" spans="1:21" x14ac:dyDescent="0.25">
      <c r="A200" s="52">
        <v>42</v>
      </c>
      <c r="B200" s="52" t="s">
        <v>245</v>
      </c>
      <c r="C200" s="52" t="b">
        <v>0</v>
      </c>
      <c r="D200" s="52" t="s">
        <v>246</v>
      </c>
      <c r="E200" s="52" t="s">
        <v>37</v>
      </c>
      <c r="F200" s="52" t="s">
        <v>38</v>
      </c>
      <c r="G200" s="52" t="s">
        <v>11</v>
      </c>
      <c r="H200" s="52" t="s">
        <v>39</v>
      </c>
      <c r="I200" s="52" t="s">
        <v>47</v>
      </c>
      <c r="J200" s="52">
        <v>2.7200188755180923</v>
      </c>
      <c r="K200" s="52" t="s">
        <v>160</v>
      </c>
      <c r="L200" s="52" t="s">
        <v>160</v>
      </c>
      <c r="M200" s="52">
        <v>31.628879278855571</v>
      </c>
      <c r="N200" s="52">
        <v>0.92075746818765403</v>
      </c>
      <c r="O200" s="52">
        <v>31.628879278855571</v>
      </c>
      <c r="P200" s="52" t="s">
        <v>160</v>
      </c>
      <c r="Q200" s="52" t="b">
        <v>0</v>
      </c>
      <c r="R200" s="52">
        <v>74142.899999999994</v>
      </c>
      <c r="S200" s="52" t="b">
        <v>1</v>
      </c>
      <c r="T200" s="52">
        <v>3</v>
      </c>
      <c r="U200" s="52">
        <v>22</v>
      </c>
    </row>
    <row r="201" spans="1:21" x14ac:dyDescent="0.25">
      <c r="A201" s="52">
        <v>42</v>
      </c>
      <c r="B201" s="52" t="s">
        <v>245</v>
      </c>
      <c r="C201" s="52" t="b">
        <v>0</v>
      </c>
      <c r="D201" s="52" t="s">
        <v>246</v>
      </c>
      <c r="E201" s="52" t="s">
        <v>42</v>
      </c>
      <c r="F201" s="52" t="s">
        <v>38</v>
      </c>
      <c r="G201" s="52" t="s">
        <v>13</v>
      </c>
      <c r="H201" s="52" t="s">
        <v>39</v>
      </c>
      <c r="I201" s="52" t="s">
        <v>47</v>
      </c>
      <c r="J201" s="52">
        <v>2.4501490775153951</v>
      </c>
      <c r="K201" s="52" t="s">
        <v>160</v>
      </c>
      <c r="L201" s="52" t="s">
        <v>160</v>
      </c>
      <c r="M201" s="52">
        <v>34.440484352195163</v>
      </c>
      <c r="N201" s="52">
        <v>0.70475176078104662</v>
      </c>
      <c r="O201" s="52">
        <v>34.440484352195163</v>
      </c>
      <c r="P201" s="52" t="s">
        <v>160</v>
      </c>
      <c r="Q201" s="52" t="b">
        <v>0</v>
      </c>
      <c r="R201" s="52">
        <v>46910.862999999998</v>
      </c>
      <c r="S201" s="52" t="b">
        <v>1</v>
      </c>
      <c r="T201" s="52">
        <v>3</v>
      </c>
      <c r="U201" s="52">
        <v>28</v>
      </c>
    </row>
    <row r="202" spans="1:21" x14ac:dyDescent="0.25">
      <c r="A202" s="52">
        <v>42</v>
      </c>
      <c r="B202" s="52" t="s">
        <v>245</v>
      </c>
      <c r="C202" s="52" t="b">
        <v>0</v>
      </c>
      <c r="D202" s="52" t="s">
        <v>246</v>
      </c>
      <c r="E202" s="52" t="s">
        <v>43</v>
      </c>
      <c r="F202" s="52" t="s">
        <v>38</v>
      </c>
      <c r="G202" s="52" t="s">
        <v>12</v>
      </c>
      <c r="H202" s="52" t="s">
        <v>39</v>
      </c>
      <c r="I202" s="52" t="s">
        <v>40</v>
      </c>
      <c r="J202" s="52">
        <v>0</v>
      </c>
      <c r="K202" s="52" t="s">
        <v>160</v>
      </c>
      <c r="L202" s="52" t="s">
        <v>160</v>
      </c>
      <c r="M202" s="52" t="s">
        <v>41</v>
      </c>
      <c r="N202" s="52">
        <v>0</v>
      </c>
      <c r="O202" s="52" t="s">
        <v>160</v>
      </c>
      <c r="P202" s="52" t="s">
        <v>160</v>
      </c>
      <c r="Q202" s="52" t="b">
        <v>0</v>
      </c>
      <c r="R202" s="52">
        <v>69932.437000000005</v>
      </c>
      <c r="S202" s="52" t="b">
        <v>1</v>
      </c>
      <c r="T202" s="52">
        <v>3</v>
      </c>
      <c r="U202" s="52">
        <v>49</v>
      </c>
    </row>
    <row r="203" spans="1:21" x14ac:dyDescent="0.25">
      <c r="A203" s="52">
        <v>42</v>
      </c>
      <c r="B203" s="52" t="s">
        <v>245</v>
      </c>
      <c r="C203" s="52" t="b">
        <v>0</v>
      </c>
      <c r="D203" s="52" t="s">
        <v>246</v>
      </c>
      <c r="E203" s="52" t="s">
        <v>44</v>
      </c>
      <c r="F203" s="52" t="s">
        <v>38</v>
      </c>
      <c r="G203" s="52" t="s">
        <v>14</v>
      </c>
      <c r="H203" s="52" t="s">
        <v>39</v>
      </c>
      <c r="I203" s="52" t="s">
        <v>47</v>
      </c>
      <c r="J203" s="52">
        <v>2.6899571295994269</v>
      </c>
      <c r="K203" s="52" t="s">
        <v>160</v>
      </c>
      <c r="L203" s="52" t="s">
        <v>160</v>
      </c>
      <c r="M203" s="52">
        <v>23.562877825836985</v>
      </c>
      <c r="N203" s="52">
        <v>0.95923290934886829</v>
      </c>
      <c r="O203" s="52">
        <v>23.562877825836985</v>
      </c>
      <c r="P203" s="52" t="s">
        <v>160</v>
      </c>
      <c r="Q203" s="52" t="b">
        <v>0</v>
      </c>
      <c r="R203" s="52">
        <v>47660.913</v>
      </c>
      <c r="S203" s="52" t="b">
        <v>1</v>
      </c>
      <c r="T203" s="52">
        <v>3</v>
      </c>
      <c r="U203" s="52">
        <v>17</v>
      </c>
    </row>
    <row r="204" spans="1:21" x14ac:dyDescent="0.25">
      <c r="A204" s="52">
        <v>42</v>
      </c>
      <c r="B204" s="52" t="s">
        <v>245</v>
      </c>
      <c r="C204" s="52" t="b">
        <v>0</v>
      </c>
      <c r="D204" s="52" t="s">
        <v>246</v>
      </c>
      <c r="E204" s="52" t="s">
        <v>45</v>
      </c>
      <c r="F204" s="52" t="s">
        <v>38</v>
      </c>
      <c r="G204" s="52" t="s">
        <v>10</v>
      </c>
      <c r="H204" s="52" t="s">
        <v>39</v>
      </c>
      <c r="I204" s="52" t="s">
        <v>40</v>
      </c>
      <c r="J204" s="52">
        <v>2.2291942651036343</v>
      </c>
      <c r="K204" s="52" t="s">
        <v>160</v>
      </c>
      <c r="L204" s="52" t="s">
        <v>160</v>
      </c>
      <c r="M204" s="52" t="s">
        <v>41</v>
      </c>
      <c r="N204" s="52">
        <v>0</v>
      </c>
      <c r="O204" s="52" t="s">
        <v>160</v>
      </c>
      <c r="P204" s="52" t="s">
        <v>160</v>
      </c>
      <c r="Q204" s="52" t="b">
        <v>0</v>
      </c>
      <c r="R204" s="52">
        <v>161088.065</v>
      </c>
      <c r="S204" s="52" t="b">
        <v>1</v>
      </c>
      <c r="T204" s="52">
        <v>3</v>
      </c>
      <c r="U204" s="52">
        <v>49</v>
      </c>
    </row>
    <row r="205" spans="1:21" x14ac:dyDescent="0.25">
      <c r="A205" s="52">
        <v>43</v>
      </c>
      <c r="B205" s="52" t="s">
        <v>247</v>
      </c>
      <c r="C205" s="52" t="b">
        <v>0</v>
      </c>
      <c r="D205" s="52" t="s">
        <v>248</v>
      </c>
      <c r="E205" s="52" t="s">
        <v>37</v>
      </c>
      <c r="F205" s="52" t="s">
        <v>38</v>
      </c>
      <c r="G205" s="52" t="s">
        <v>11</v>
      </c>
      <c r="H205" s="52" t="s">
        <v>39</v>
      </c>
      <c r="I205" s="52" t="s">
        <v>47</v>
      </c>
      <c r="J205" s="52">
        <v>2.768177449123725</v>
      </c>
      <c r="K205" s="52" t="s">
        <v>160</v>
      </c>
      <c r="L205" s="52" t="s">
        <v>160</v>
      </c>
      <c r="M205" s="52">
        <v>30.209642346826691</v>
      </c>
      <c r="N205" s="52">
        <v>0.97379253206824423</v>
      </c>
      <c r="O205" s="52">
        <v>30.209642346826691</v>
      </c>
      <c r="P205" s="52" t="s">
        <v>160</v>
      </c>
      <c r="Q205" s="52" t="b">
        <v>0</v>
      </c>
      <c r="R205" s="52">
        <v>74142.899999999994</v>
      </c>
      <c r="S205" s="52" t="b">
        <v>1</v>
      </c>
      <c r="T205" s="52">
        <v>3</v>
      </c>
      <c r="U205" s="52">
        <v>22</v>
      </c>
    </row>
    <row r="206" spans="1:21" x14ac:dyDescent="0.25">
      <c r="A206" s="52">
        <v>43</v>
      </c>
      <c r="B206" s="52" t="s">
        <v>247</v>
      </c>
      <c r="C206" s="52" t="b">
        <v>0</v>
      </c>
      <c r="D206" s="52" t="s">
        <v>248</v>
      </c>
      <c r="E206" s="52" t="s">
        <v>42</v>
      </c>
      <c r="F206" s="52" t="s">
        <v>38</v>
      </c>
      <c r="G206" s="52" t="s">
        <v>13</v>
      </c>
      <c r="H206" s="52" t="s">
        <v>39</v>
      </c>
      <c r="I206" s="52" t="s">
        <v>47</v>
      </c>
      <c r="J206" s="52">
        <v>2.6124571150928531</v>
      </c>
      <c r="K206" s="52" t="s">
        <v>160</v>
      </c>
      <c r="L206" s="52" t="s">
        <v>160</v>
      </c>
      <c r="M206" s="52">
        <v>33.004025785018712</v>
      </c>
      <c r="N206" s="52">
        <v>0.85446278208295523</v>
      </c>
      <c r="O206" s="52">
        <v>33.004025785018712</v>
      </c>
      <c r="P206" s="52" t="s">
        <v>160</v>
      </c>
      <c r="Q206" s="52" t="b">
        <v>0</v>
      </c>
      <c r="R206" s="52">
        <v>46910.862999999998</v>
      </c>
      <c r="S206" s="52" t="b">
        <v>1</v>
      </c>
      <c r="T206" s="52">
        <v>3</v>
      </c>
      <c r="U206" s="52">
        <v>27</v>
      </c>
    </row>
    <row r="207" spans="1:21" x14ac:dyDescent="0.25">
      <c r="A207" s="52">
        <v>43</v>
      </c>
      <c r="B207" s="52" t="s">
        <v>247</v>
      </c>
      <c r="C207" s="52" t="b">
        <v>0</v>
      </c>
      <c r="D207" s="52" t="s">
        <v>248</v>
      </c>
      <c r="E207" s="52" t="s">
        <v>43</v>
      </c>
      <c r="F207" s="52" t="s">
        <v>38</v>
      </c>
      <c r="G207" s="52" t="s">
        <v>12</v>
      </c>
      <c r="H207" s="52" t="s">
        <v>39</v>
      </c>
      <c r="I207" s="52" t="s">
        <v>139</v>
      </c>
      <c r="J207" s="52">
        <v>0</v>
      </c>
      <c r="K207" s="52" t="s">
        <v>160</v>
      </c>
      <c r="L207" s="52" t="s">
        <v>160</v>
      </c>
      <c r="M207" s="52" t="s">
        <v>41</v>
      </c>
      <c r="N207" s="52">
        <v>0</v>
      </c>
      <c r="O207" s="52" t="s">
        <v>160</v>
      </c>
      <c r="P207" s="52" t="s">
        <v>160</v>
      </c>
      <c r="Q207" s="52" t="b">
        <v>0</v>
      </c>
      <c r="R207" s="52">
        <v>69932.437000000005</v>
      </c>
      <c r="S207" s="52" t="b">
        <v>1</v>
      </c>
      <c r="T207" s="52">
        <v>3</v>
      </c>
      <c r="U207" s="52">
        <v>49</v>
      </c>
    </row>
    <row r="208" spans="1:21" x14ac:dyDescent="0.25">
      <c r="A208" s="52">
        <v>43</v>
      </c>
      <c r="B208" s="52" t="s">
        <v>247</v>
      </c>
      <c r="C208" s="52" t="b">
        <v>0</v>
      </c>
      <c r="D208" s="52" t="s">
        <v>248</v>
      </c>
      <c r="E208" s="52" t="s">
        <v>44</v>
      </c>
      <c r="F208" s="52" t="s">
        <v>38</v>
      </c>
      <c r="G208" s="52" t="s">
        <v>14</v>
      </c>
      <c r="H208" s="52" t="s">
        <v>39</v>
      </c>
      <c r="I208" s="52" t="s">
        <v>47</v>
      </c>
      <c r="J208" s="52">
        <v>2.688994256351803</v>
      </c>
      <c r="K208" s="52" t="s">
        <v>160</v>
      </c>
      <c r="L208" s="52" t="s">
        <v>160</v>
      </c>
      <c r="M208" s="52">
        <v>24.298136671639142</v>
      </c>
      <c r="N208" s="52">
        <v>0.93896976514207586</v>
      </c>
      <c r="O208" s="52">
        <v>24.298136671639142</v>
      </c>
      <c r="P208" s="52" t="s">
        <v>160</v>
      </c>
      <c r="Q208" s="52" t="b">
        <v>0</v>
      </c>
      <c r="R208" s="52">
        <v>47660.913</v>
      </c>
      <c r="S208" s="52" t="b">
        <v>1</v>
      </c>
      <c r="T208" s="52">
        <v>3</v>
      </c>
      <c r="U208" s="52">
        <v>18</v>
      </c>
    </row>
    <row r="209" spans="1:21" x14ac:dyDescent="0.25">
      <c r="A209" s="52">
        <v>43</v>
      </c>
      <c r="B209" s="52" t="s">
        <v>247</v>
      </c>
      <c r="C209" s="52" t="b">
        <v>0</v>
      </c>
      <c r="D209" s="52" t="s">
        <v>248</v>
      </c>
      <c r="E209" s="52" t="s">
        <v>45</v>
      </c>
      <c r="F209" s="52" t="s">
        <v>38</v>
      </c>
      <c r="G209" s="52" t="s">
        <v>10</v>
      </c>
      <c r="H209" s="52" t="s">
        <v>39</v>
      </c>
      <c r="I209" s="52" t="s">
        <v>139</v>
      </c>
      <c r="J209" s="52">
        <v>0</v>
      </c>
      <c r="K209" s="52" t="s">
        <v>160</v>
      </c>
      <c r="L209" s="52" t="s">
        <v>160</v>
      </c>
      <c r="M209" s="52" t="s">
        <v>41</v>
      </c>
      <c r="N209" s="52">
        <v>0</v>
      </c>
      <c r="O209" s="52" t="s">
        <v>160</v>
      </c>
      <c r="P209" s="52" t="s">
        <v>160</v>
      </c>
      <c r="Q209" s="52" t="b">
        <v>0</v>
      </c>
      <c r="R209" s="52">
        <v>161088.065</v>
      </c>
      <c r="S209" s="52" t="b">
        <v>1</v>
      </c>
      <c r="T209" s="52">
        <v>3</v>
      </c>
      <c r="U209" s="52">
        <v>49</v>
      </c>
    </row>
    <row r="210" spans="1:21" x14ac:dyDescent="0.25">
      <c r="A210" s="52">
        <v>44</v>
      </c>
      <c r="B210" s="52" t="s">
        <v>249</v>
      </c>
      <c r="C210" s="52" t="b">
        <v>0</v>
      </c>
      <c r="D210" s="52" t="s">
        <v>250</v>
      </c>
      <c r="E210" s="52" t="s">
        <v>37</v>
      </c>
      <c r="F210" s="52" t="s">
        <v>38</v>
      </c>
      <c r="G210" s="52" t="s">
        <v>11</v>
      </c>
      <c r="H210" s="52" t="s">
        <v>39</v>
      </c>
      <c r="I210" s="52" t="s">
        <v>47</v>
      </c>
      <c r="J210" s="52">
        <v>2.7641109097855638</v>
      </c>
      <c r="K210" s="52" t="s">
        <v>160</v>
      </c>
      <c r="L210" s="52" t="s">
        <v>160</v>
      </c>
      <c r="M210" s="52">
        <v>30.356834210096117</v>
      </c>
      <c r="N210" s="52">
        <v>0.95173266774974863</v>
      </c>
      <c r="O210" s="52">
        <v>30.356834210096117</v>
      </c>
      <c r="P210" s="52" t="s">
        <v>160</v>
      </c>
      <c r="Q210" s="52" t="b">
        <v>0</v>
      </c>
      <c r="R210" s="52">
        <v>74142.899999999994</v>
      </c>
      <c r="S210" s="52" t="b">
        <v>1</v>
      </c>
      <c r="T210" s="52">
        <v>3</v>
      </c>
      <c r="U210" s="52">
        <v>22</v>
      </c>
    </row>
    <row r="211" spans="1:21" x14ac:dyDescent="0.25">
      <c r="A211" s="52">
        <v>44</v>
      </c>
      <c r="B211" s="52" t="s">
        <v>249</v>
      </c>
      <c r="C211" s="52" t="b">
        <v>0</v>
      </c>
      <c r="D211" s="52" t="s">
        <v>250</v>
      </c>
      <c r="E211" s="52" t="s">
        <v>42</v>
      </c>
      <c r="F211" s="52" t="s">
        <v>38</v>
      </c>
      <c r="G211" s="52" t="s">
        <v>13</v>
      </c>
      <c r="H211" s="52" t="s">
        <v>39</v>
      </c>
      <c r="I211" s="52" t="s">
        <v>47</v>
      </c>
      <c r="J211" s="52">
        <v>2.6805046198837257</v>
      </c>
      <c r="K211" s="52" t="s">
        <v>160</v>
      </c>
      <c r="L211" s="52" t="s">
        <v>160</v>
      </c>
      <c r="M211" s="52">
        <v>31.931044191570905</v>
      </c>
      <c r="N211" s="52">
        <v>0.91471817865809069</v>
      </c>
      <c r="O211" s="52">
        <v>31.931044191570905</v>
      </c>
      <c r="P211" s="52" t="s">
        <v>160</v>
      </c>
      <c r="Q211" s="52" t="b">
        <v>0</v>
      </c>
      <c r="R211" s="52">
        <v>46910.862999999998</v>
      </c>
      <c r="S211" s="52" t="b">
        <v>1</v>
      </c>
      <c r="T211" s="52">
        <v>3</v>
      </c>
      <c r="U211" s="52">
        <v>25</v>
      </c>
    </row>
    <row r="212" spans="1:21" x14ac:dyDescent="0.25">
      <c r="A212" s="52">
        <v>44</v>
      </c>
      <c r="B212" s="52" t="s">
        <v>249</v>
      </c>
      <c r="C212" s="52" t="b">
        <v>0</v>
      </c>
      <c r="D212" s="52" t="s">
        <v>250</v>
      </c>
      <c r="E212" s="52" t="s">
        <v>43</v>
      </c>
      <c r="F212" s="52" t="s">
        <v>38</v>
      </c>
      <c r="G212" s="52" t="s">
        <v>12</v>
      </c>
      <c r="H212" s="52" t="s">
        <v>39</v>
      </c>
      <c r="I212" s="52" t="s">
        <v>40</v>
      </c>
      <c r="J212" s="52">
        <v>0</v>
      </c>
      <c r="K212" s="52" t="s">
        <v>160</v>
      </c>
      <c r="L212" s="52" t="s">
        <v>160</v>
      </c>
      <c r="M212" s="52" t="s">
        <v>41</v>
      </c>
      <c r="N212" s="52">
        <v>0</v>
      </c>
      <c r="O212" s="52" t="s">
        <v>160</v>
      </c>
      <c r="P212" s="52" t="s">
        <v>160</v>
      </c>
      <c r="Q212" s="52" t="b">
        <v>0</v>
      </c>
      <c r="R212" s="52">
        <v>69932.437000000005</v>
      </c>
      <c r="S212" s="52" t="b">
        <v>1</v>
      </c>
      <c r="T212" s="52">
        <v>3</v>
      </c>
      <c r="U212" s="52">
        <v>49</v>
      </c>
    </row>
    <row r="213" spans="1:21" x14ac:dyDescent="0.25">
      <c r="A213" s="52">
        <v>44</v>
      </c>
      <c r="B213" s="52" t="s">
        <v>249</v>
      </c>
      <c r="C213" s="52" t="b">
        <v>0</v>
      </c>
      <c r="D213" s="52" t="s">
        <v>250</v>
      </c>
      <c r="E213" s="52" t="s">
        <v>44</v>
      </c>
      <c r="F213" s="52" t="s">
        <v>38</v>
      </c>
      <c r="G213" s="52" t="s">
        <v>14</v>
      </c>
      <c r="H213" s="52" t="s">
        <v>39</v>
      </c>
      <c r="I213" s="52" t="s">
        <v>47</v>
      </c>
      <c r="J213" s="52">
        <v>2.6730181235297219</v>
      </c>
      <c r="K213" s="52" t="s">
        <v>160</v>
      </c>
      <c r="L213" s="52" t="s">
        <v>160</v>
      </c>
      <c r="M213" s="52">
        <v>24.059727365117986</v>
      </c>
      <c r="N213" s="52">
        <v>0.87056668864972919</v>
      </c>
      <c r="O213" s="52">
        <v>24.059727365117986</v>
      </c>
      <c r="P213" s="52" t="s">
        <v>160</v>
      </c>
      <c r="Q213" s="52" t="b">
        <v>0</v>
      </c>
      <c r="R213" s="52">
        <v>47660.913</v>
      </c>
      <c r="S213" s="52" t="b">
        <v>1</v>
      </c>
      <c r="T213" s="52">
        <v>3</v>
      </c>
      <c r="U213" s="52">
        <v>15</v>
      </c>
    </row>
    <row r="214" spans="1:21" x14ac:dyDescent="0.25">
      <c r="A214" s="52">
        <v>44</v>
      </c>
      <c r="B214" s="52" t="s">
        <v>249</v>
      </c>
      <c r="C214" s="52" t="b">
        <v>0</v>
      </c>
      <c r="D214" s="52" t="s">
        <v>250</v>
      </c>
      <c r="E214" s="52" t="s">
        <v>45</v>
      </c>
      <c r="F214" s="52" t="s">
        <v>38</v>
      </c>
      <c r="G214" s="52" t="s">
        <v>10</v>
      </c>
      <c r="H214" s="52" t="s">
        <v>39</v>
      </c>
      <c r="I214" s="52" t="s">
        <v>40</v>
      </c>
      <c r="J214" s="52">
        <v>0</v>
      </c>
      <c r="K214" s="52" t="s">
        <v>160</v>
      </c>
      <c r="L214" s="52" t="s">
        <v>160</v>
      </c>
      <c r="M214" s="52" t="s">
        <v>41</v>
      </c>
      <c r="N214" s="52">
        <v>0</v>
      </c>
      <c r="O214" s="52" t="s">
        <v>160</v>
      </c>
      <c r="P214" s="52" t="s">
        <v>160</v>
      </c>
      <c r="Q214" s="52" t="b">
        <v>0</v>
      </c>
      <c r="R214" s="52">
        <v>161088.065</v>
      </c>
      <c r="S214" s="52" t="b">
        <v>1</v>
      </c>
      <c r="T214" s="52">
        <v>3</v>
      </c>
      <c r="U214" s="52">
        <v>49</v>
      </c>
    </row>
    <row r="215" spans="1:21" x14ac:dyDescent="0.25">
      <c r="A215" s="52">
        <v>45</v>
      </c>
      <c r="B215" s="52" t="s">
        <v>251</v>
      </c>
      <c r="C215" s="52" t="b">
        <v>0</v>
      </c>
      <c r="D215" s="52" t="s">
        <v>252</v>
      </c>
      <c r="E215" s="52" t="s">
        <v>37</v>
      </c>
      <c r="F215" s="52" t="s">
        <v>38</v>
      </c>
      <c r="G215" s="52" t="s">
        <v>11</v>
      </c>
      <c r="H215" s="52" t="s">
        <v>39</v>
      </c>
      <c r="I215" s="52" t="s">
        <v>47</v>
      </c>
      <c r="J215" s="52">
        <v>2.7550589809453996</v>
      </c>
      <c r="K215" s="52" t="s">
        <v>160</v>
      </c>
      <c r="L215" s="52" t="s">
        <v>160</v>
      </c>
      <c r="M215" s="52">
        <v>31.101019152849965</v>
      </c>
      <c r="N215" s="52">
        <v>0.9365085804278902</v>
      </c>
      <c r="O215" s="52">
        <v>31.101019152849965</v>
      </c>
      <c r="P215" s="52" t="s">
        <v>160</v>
      </c>
      <c r="Q215" s="52" t="b">
        <v>0</v>
      </c>
      <c r="R215" s="52">
        <v>74142.899999999994</v>
      </c>
      <c r="S215" s="52" t="b">
        <v>1</v>
      </c>
      <c r="T215" s="52">
        <v>3</v>
      </c>
      <c r="U215" s="52">
        <v>22</v>
      </c>
    </row>
    <row r="216" spans="1:21" x14ac:dyDescent="0.25">
      <c r="A216" s="52">
        <v>45</v>
      </c>
      <c r="B216" s="52" t="s">
        <v>251</v>
      </c>
      <c r="C216" s="52" t="b">
        <v>0</v>
      </c>
      <c r="D216" s="52" t="s">
        <v>252</v>
      </c>
      <c r="E216" s="52" t="s">
        <v>42</v>
      </c>
      <c r="F216" s="52" t="s">
        <v>38</v>
      </c>
      <c r="G216" s="52" t="s">
        <v>13</v>
      </c>
      <c r="H216" s="52" t="s">
        <v>39</v>
      </c>
      <c r="I216" s="52" t="s">
        <v>47</v>
      </c>
      <c r="J216" s="52">
        <v>2.6368634752915514</v>
      </c>
      <c r="K216" s="52" t="s">
        <v>160</v>
      </c>
      <c r="L216" s="52" t="s">
        <v>160</v>
      </c>
      <c r="M216" s="52">
        <v>32.885192003322686</v>
      </c>
      <c r="N216" s="52">
        <v>0.74657268213905892</v>
      </c>
      <c r="O216" s="52">
        <v>32.885192003322686</v>
      </c>
      <c r="P216" s="52" t="s">
        <v>160</v>
      </c>
      <c r="Q216" s="52" t="b">
        <v>0</v>
      </c>
      <c r="R216" s="52">
        <v>46910.862999999998</v>
      </c>
      <c r="S216" s="52" t="b">
        <v>1</v>
      </c>
      <c r="T216" s="52">
        <v>3</v>
      </c>
      <c r="U216" s="52">
        <v>25</v>
      </c>
    </row>
    <row r="217" spans="1:21" x14ac:dyDescent="0.25">
      <c r="A217" s="52">
        <v>45</v>
      </c>
      <c r="B217" s="52" t="s">
        <v>251</v>
      </c>
      <c r="C217" s="52" t="b">
        <v>0</v>
      </c>
      <c r="D217" s="52" t="s">
        <v>252</v>
      </c>
      <c r="E217" s="52" t="s">
        <v>43</v>
      </c>
      <c r="F217" s="52" t="s">
        <v>38</v>
      </c>
      <c r="G217" s="52" t="s">
        <v>12</v>
      </c>
      <c r="H217" s="52" t="s">
        <v>39</v>
      </c>
      <c r="I217" s="52" t="s">
        <v>40</v>
      </c>
      <c r="J217" s="52">
        <v>0</v>
      </c>
      <c r="K217" s="52" t="s">
        <v>160</v>
      </c>
      <c r="L217" s="52" t="s">
        <v>160</v>
      </c>
      <c r="M217" s="52" t="s">
        <v>41</v>
      </c>
      <c r="N217" s="52">
        <v>0</v>
      </c>
      <c r="O217" s="52" t="s">
        <v>160</v>
      </c>
      <c r="P217" s="52" t="s">
        <v>160</v>
      </c>
      <c r="Q217" s="52" t="b">
        <v>0</v>
      </c>
      <c r="R217" s="52">
        <v>69932.437000000005</v>
      </c>
      <c r="S217" s="52" t="b">
        <v>1</v>
      </c>
      <c r="T217" s="52">
        <v>3</v>
      </c>
      <c r="U217" s="52">
        <v>49</v>
      </c>
    </row>
    <row r="218" spans="1:21" x14ac:dyDescent="0.25">
      <c r="A218" s="52">
        <v>45</v>
      </c>
      <c r="B218" s="52" t="s">
        <v>251</v>
      </c>
      <c r="C218" s="52" t="b">
        <v>0</v>
      </c>
      <c r="D218" s="52" t="s">
        <v>252</v>
      </c>
      <c r="E218" s="52" t="s">
        <v>44</v>
      </c>
      <c r="F218" s="52" t="s">
        <v>38</v>
      </c>
      <c r="G218" s="52" t="s">
        <v>14</v>
      </c>
      <c r="H218" s="52" t="s">
        <v>39</v>
      </c>
      <c r="I218" s="52" t="s">
        <v>47</v>
      </c>
      <c r="J218" s="52">
        <v>2.6637173688521401</v>
      </c>
      <c r="K218" s="52" t="s">
        <v>160</v>
      </c>
      <c r="L218" s="52" t="s">
        <v>160</v>
      </c>
      <c r="M218" s="52">
        <v>25.070183766807403</v>
      </c>
      <c r="N218" s="52">
        <v>0.91337313439381052</v>
      </c>
      <c r="O218" s="52">
        <v>25.070183766807403</v>
      </c>
      <c r="P218" s="52" t="s">
        <v>160</v>
      </c>
      <c r="Q218" s="52" t="b">
        <v>0</v>
      </c>
      <c r="R218" s="52">
        <v>47660.913</v>
      </c>
      <c r="S218" s="52" t="b">
        <v>1</v>
      </c>
      <c r="T218" s="52">
        <v>3</v>
      </c>
      <c r="U218" s="52">
        <v>17</v>
      </c>
    </row>
    <row r="219" spans="1:21" x14ac:dyDescent="0.25">
      <c r="A219" s="52">
        <v>45</v>
      </c>
      <c r="B219" s="52" t="s">
        <v>251</v>
      </c>
      <c r="C219" s="52" t="b">
        <v>0</v>
      </c>
      <c r="D219" s="52" t="s">
        <v>252</v>
      </c>
      <c r="E219" s="52" t="s">
        <v>45</v>
      </c>
      <c r="F219" s="52" t="s">
        <v>38</v>
      </c>
      <c r="G219" s="52" t="s">
        <v>10</v>
      </c>
      <c r="H219" s="52" t="s">
        <v>39</v>
      </c>
      <c r="I219" s="52" t="s">
        <v>40</v>
      </c>
      <c r="J219" s="52">
        <v>2.1508431849049736</v>
      </c>
      <c r="K219" s="52" t="s">
        <v>160</v>
      </c>
      <c r="L219" s="52" t="s">
        <v>160</v>
      </c>
      <c r="M219" s="52" t="s">
        <v>41</v>
      </c>
      <c r="N219" s="52">
        <v>0</v>
      </c>
      <c r="O219" s="52" t="s">
        <v>160</v>
      </c>
      <c r="P219" s="52" t="s">
        <v>160</v>
      </c>
      <c r="Q219" s="52" t="b">
        <v>0</v>
      </c>
      <c r="R219" s="52">
        <v>161088.065</v>
      </c>
      <c r="S219" s="52" t="b">
        <v>1</v>
      </c>
      <c r="T219" s="52">
        <v>3</v>
      </c>
      <c r="U219" s="52">
        <v>49</v>
      </c>
    </row>
    <row r="220" spans="1:21" x14ac:dyDescent="0.25">
      <c r="A220" s="52">
        <v>46</v>
      </c>
      <c r="B220" s="52" t="s">
        <v>253</v>
      </c>
      <c r="C220" s="52" t="b">
        <v>0</v>
      </c>
      <c r="D220" s="52" t="s">
        <v>254</v>
      </c>
      <c r="E220" s="52" t="s">
        <v>37</v>
      </c>
      <c r="F220" s="52" t="s">
        <v>38</v>
      </c>
      <c r="G220" s="52" t="s">
        <v>11</v>
      </c>
      <c r="H220" s="52" t="s">
        <v>39</v>
      </c>
      <c r="I220" s="52" t="s">
        <v>47</v>
      </c>
      <c r="J220" s="52">
        <v>2.7663028309000262</v>
      </c>
      <c r="K220" s="52" t="s">
        <v>160</v>
      </c>
      <c r="L220" s="52" t="s">
        <v>160</v>
      </c>
      <c r="M220" s="52">
        <v>29.131059330854725</v>
      </c>
      <c r="N220" s="52">
        <v>0.94944753068064991</v>
      </c>
      <c r="O220" s="52">
        <v>29.131059330854725</v>
      </c>
      <c r="P220" s="52" t="s">
        <v>160</v>
      </c>
      <c r="Q220" s="52" t="b">
        <v>0</v>
      </c>
      <c r="R220" s="52">
        <v>74142.899999999994</v>
      </c>
      <c r="S220" s="52" t="b">
        <v>1</v>
      </c>
      <c r="T220" s="52">
        <v>3</v>
      </c>
      <c r="U220" s="52">
        <v>21</v>
      </c>
    </row>
    <row r="221" spans="1:21" x14ac:dyDescent="0.25">
      <c r="A221" s="52">
        <v>46</v>
      </c>
      <c r="B221" s="52" t="s">
        <v>253</v>
      </c>
      <c r="C221" s="52" t="b">
        <v>0</v>
      </c>
      <c r="D221" s="52" t="s">
        <v>254</v>
      </c>
      <c r="E221" s="52" t="s">
        <v>42</v>
      </c>
      <c r="F221" s="52" t="s">
        <v>38</v>
      </c>
      <c r="G221" s="52" t="s">
        <v>13</v>
      </c>
      <c r="H221" s="52" t="s">
        <v>39</v>
      </c>
      <c r="I221" s="52" t="s">
        <v>47</v>
      </c>
      <c r="J221" s="52">
        <v>2.676578388766099</v>
      </c>
      <c r="K221" s="52" t="s">
        <v>160</v>
      </c>
      <c r="L221" s="52" t="s">
        <v>160</v>
      </c>
      <c r="M221" s="52">
        <v>31.706905317937732</v>
      </c>
      <c r="N221" s="52">
        <v>0.81034376352221704</v>
      </c>
      <c r="O221" s="52">
        <v>31.706905317937732</v>
      </c>
      <c r="P221" s="52" t="s">
        <v>160</v>
      </c>
      <c r="Q221" s="52" t="b">
        <v>0</v>
      </c>
      <c r="R221" s="52">
        <v>46910.862999999998</v>
      </c>
      <c r="S221" s="52" t="b">
        <v>1</v>
      </c>
      <c r="T221" s="52">
        <v>3</v>
      </c>
      <c r="U221" s="52">
        <v>24</v>
      </c>
    </row>
    <row r="222" spans="1:21" x14ac:dyDescent="0.25">
      <c r="A222" s="52">
        <v>46</v>
      </c>
      <c r="B222" s="52" t="s">
        <v>253</v>
      </c>
      <c r="C222" s="52" t="b">
        <v>0</v>
      </c>
      <c r="D222" s="52" t="s">
        <v>254</v>
      </c>
      <c r="E222" s="52" t="s">
        <v>43</v>
      </c>
      <c r="F222" s="52" t="s">
        <v>38</v>
      </c>
      <c r="G222" s="52" t="s">
        <v>12</v>
      </c>
      <c r="H222" s="52" t="s">
        <v>39</v>
      </c>
      <c r="I222" s="52" t="s">
        <v>40</v>
      </c>
      <c r="J222" s="52">
        <v>0</v>
      </c>
      <c r="K222" s="52" t="s">
        <v>160</v>
      </c>
      <c r="L222" s="52" t="s">
        <v>160</v>
      </c>
      <c r="M222" s="52" t="s">
        <v>41</v>
      </c>
      <c r="N222" s="52">
        <v>0</v>
      </c>
      <c r="O222" s="52" t="s">
        <v>160</v>
      </c>
      <c r="P222" s="52" t="s">
        <v>160</v>
      </c>
      <c r="Q222" s="52" t="b">
        <v>0</v>
      </c>
      <c r="R222" s="52">
        <v>69932.437000000005</v>
      </c>
      <c r="S222" s="52" t="b">
        <v>1</v>
      </c>
      <c r="T222" s="52">
        <v>3</v>
      </c>
      <c r="U222" s="52">
        <v>49</v>
      </c>
    </row>
    <row r="223" spans="1:21" x14ac:dyDescent="0.25">
      <c r="A223" s="52">
        <v>46</v>
      </c>
      <c r="B223" s="52" t="s">
        <v>253</v>
      </c>
      <c r="C223" s="52" t="b">
        <v>0</v>
      </c>
      <c r="D223" s="52" t="s">
        <v>254</v>
      </c>
      <c r="E223" s="52" t="s">
        <v>44</v>
      </c>
      <c r="F223" s="52" t="s">
        <v>38</v>
      </c>
      <c r="G223" s="52" t="s">
        <v>14</v>
      </c>
      <c r="H223" s="52" t="s">
        <v>39</v>
      </c>
      <c r="I223" s="52" t="s">
        <v>47</v>
      </c>
      <c r="J223" s="52">
        <v>2.6392680567719426</v>
      </c>
      <c r="K223" s="52" t="s">
        <v>160</v>
      </c>
      <c r="L223" s="52" t="s">
        <v>160</v>
      </c>
      <c r="M223" s="52">
        <v>26.180010268371692</v>
      </c>
      <c r="N223" s="52">
        <v>0.88992811457686471</v>
      </c>
      <c r="O223" s="52">
        <v>26.180010268371692</v>
      </c>
      <c r="P223" s="52" t="s">
        <v>160</v>
      </c>
      <c r="Q223" s="52" t="b">
        <v>0</v>
      </c>
      <c r="R223" s="52">
        <v>47660.913</v>
      </c>
      <c r="S223" s="52" t="b">
        <v>1</v>
      </c>
      <c r="T223" s="52">
        <v>3</v>
      </c>
      <c r="U223" s="52">
        <v>18</v>
      </c>
    </row>
    <row r="224" spans="1:21" x14ac:dyDescent="0.25">
      <c r="A224" s="52">
        <v>46</v>
      </c>
      <c r="B224" s="52" t="s">
        <v>253</v>
      </c>
      <c r="C224" s="52" t="b">
        <v>0</v>
      </c>
      <c r="D224" s="52" t="s">
        <v>254</v>
      </c>
      <c r="E224" s="52" t="s">
        <v>45</v>
      </c>
      <c r="F224" s="52" t="s">
        <v>38</v>
      </c>
      <c r="G224" s="52" t="s">
        <v>10</v>
      </c>
      <c r="H224" s="52" t="s">
        <v>39</v>
      </c>
      <c r="I224" s="52" t="s">
        <v>40</v>
      </c>
      <c r="J224" s="52">
        <v>0</v>
      </c>
      <c r="K224" s="52" t="s">
        <v>160</v>
      </c>
      <c r="L224" s="52" t="s">
        <v>160</v>
      </c>
      <c r="M224" s="52" t="s">
        <v>41</v>
      </c>
      <c r="N224" s="52">
        <v>0</v>
      </c>
      <c r="O224" s="52" t="s">
        <v>160</v>
      </c>
      <c r="P224" s="52" t="s">
        <v>160</v>
      </c>
      <c r="Q224" s="52" t="b">
        <v>0</v>
      </c>
      <c r="R224" s="52">
        <v>161088.065</v>
      </c>
      <c r="S224" s="52" t="b">
        <v>1</v>
      </c>
      <c r="T224" s="52">
        <v>3</v>
      </c>
      <c r="U224" s="52">
        <v>49</v>
      </c>
    </row>
    <row r="225" spans="1:21" x14ac:dyDescent="0.25">
      <c r="A225" s="52">
        <v>49</v>
      </c>
      <c r="B225" s="52" t="s">
        <v>61</v>
      </c>
      <c r="C225" s="52" t="b">
        <v>0</v>
      </c>
      <c r="D225" s="52" t="s">
        <v>170</v>
      </c>
      <c r="E225" s="52" t="s">
        <v>37</v>
      </c>
      <c r="F225" s="52" t="s">
        <v>38</v>
      </c>
      <c r="G225" s="52" t="s">
        <v>11</v>
      </c>
      <c r="H225" s="52" t="s">
        <v>39</v>
      </c>
      <c r="I225" s="52" t="s">
        <v>47</v>
      </c>
      <c r="J225" s="52">
        <v>0</v>
      </c>
      <c r="K225" s="52" t="s">
        <v>160</v>
      </c>
      <c r="L225" s="52" t="s">
        <v>160</v>
      </c>
      <c r="M225" s="52">
        <v>27.981735705609893</v>
      </c>
      <c r="N225" s="52">
        <v>0.97529278138844111</v>
      </c>
      <c r="O225" s="52">
        <v>27.981735705609893</v>
      </c>
      <c r="P225" s="52" t="s">
        <v>160</v>
      </c>
      <c r="Q225" s="52" t="b">
        <v>0</v>
      </c>
      <c r="R225" s="52">
        <v>74142.899999999994</v>
      </c>
      <c r="S225" s="52" t="b">
        <v>1</v>
      </c>
      <c r="T225" s="52">
        <v>3</v>
      </c>
      <c r="U225" s="52">
        <v>19</v>
      </c>
    </row>
    <row r="226" spans="1:21" x14ac:dyDescent="0.25">
      <c r="A226" s="52">
        <v>49</v>
      </c>
      <c r="B226" s="52" t="s">
        <v>61</v>
      </c>
      <c r="C226" s="52" t="b">
        <v>0</v>
      </c>
      <c r="D226" s="52" t="s">
        <v>170</v>
      </c>
      <c r="E226" s="52" t="s">
        <v>42</v>
      </c>
      <c r="F226" s="52" t="s">
        <v>38</v>
      </c>
      <c r="G226" s="52" t="s">
        <v>13</v>
      </c>
      <c r="H226" s="52" t="s">
        <v>39</v>
      </c>
      <c r="I226" s="52" t="s">
        <v>47</v>
      </c>
      <c r="J226" s="52">
        <v>2.6638045462936968</v>
      </c>
      <c r="K226" s="52" t="s">
        <v>160</v>
      </c>
      <c r="L226" s="52" t="s">
        <v>160</v>
      </c>
      <c r="M226" s="52">
        <v>31.256158207401008</v>
      </c>
      <c r="N226" s="52">
        <v>0.97487893869817865</v>
      </c>
      <c r="O226" s="52">
        <v>31.256158207401008</v>
      </c>
      <c r="P226" s="52" t="s">
        <v>160</v>
      </c>
      <c r="Q226" s="52" t="b">
        <v>0</v>
      </c>
      <c r="R226" s="52">
        <v>46910.862999999998</v>
      </c>
      <c r="S226" s="52" t="b">
        <v>1</v>
      </c>
      <c r="T226" s="52">
        <v>3</v>
      </c>
      <c r="U226" s="52">
        <v>24</v>
      </c>
    </row>
    <row r="227" spans="1:21" x14ac:dyDescent="0.25">
      <c r="A227" s="52">
        <v>49</v>
      </c>
      <c r="B227" s="52" t="s">
        <v>61</v>
      </c>
      <c r="C227" s="52" t="b">
        <v>0</v>
      </c>
      <c r="D227" s="52" t="s">
        <v>170</v>
      </c>
      <c r="E227" s="52" t="s">
        <v>43</v>
      </c>
      <c r="F227" s="52" t="s">
        <v>38</v>
      </c>
      <c r="G227" s="52" t="s">
        <v>12</v>
      </c>
      <c r="H227" s="52" t="s">
        <v>39</v>
      </c>
      <c r="I227" s="52" t="s">
        <v>40</v>
      </c>
      <c r="J227" s="52">
        <v>0</v>
      </c>
      <c r="K227" s="52" t="s">
        <v>160</v>
      </c>
      <c r="L227" s="52" t="s">
        <v>160</v>
      </c>
      <c r="M227" s="52" t="s">
        <v>41</v>
      </c>
      <c r="N227" s="52">
        <v>0</v>
      </c>
      <c r="O227" s="52" t="s">
        <v>160</v>
      </c>
      <c r="P227" s="52" t="s">
        <v>160</v>
      </c>
      <c r="Q227" s="52" t="b">
        <v>0</v>
      </c>
      <c r="R227" s="52">
        <v>69932.437000000005</v>
      </c>
      <c r="S227" s="52" t="b">
        <v>1</v>
      </c>
      <c r="T227" s="52">
        <v>3</v>
      </c>
      <c r="U227" s="52">
        <v>49</v>
      </c>
    </row>
    <row r="228" spans="1:21" x14ac:dyDescent="0.25">
      <c r="A228" s="52">
        <v>49</v>
      </c>
      <c r="B228" s="52" t="s">
        <v>61</v>
      </c>
      <c r="C228" s="52" t="b">
        <v>0</v>
      </c>
      <c r="D228" s="52" t="s">
        <v>170</v>
      </c>
      <c r="E228" s="52" t="s">
        <v>44</v>
      </c>
      <c r="F228" s="52" t="s">
        <v>38</v>
      </c>
      <c r="G228" s="52" t="s">
        <v>14</v>
      </c>
      <c r="H228" s="52" t="s">
        <v>39</v>
      </c>
      <c r="I228" s="52" t="s">
        <v>47</v>
      </c>
      <c r="J228" s="52">
        <v>2.5781000561771563</v>
      </c>
      <c r="K228" s="52" t="s">
        <v>160</v>
      </c>
      <c r="L228" s="52" t="s">
        <v>160</v>
      </c>
      <c r="M228" s="52">
        <v>25.645437582564529</v>
      </c>
      <c r="N228" s="52">
        <v>0.95163813265485608</v>
      </c>
      <c r="O228" s="52">
        <v>25.645437582564529</v>
      </c>
      <c r="P228" s="52" t="s">
        <v>160</v>
      </c>
      <c r="Q228" s="52" t="b">
        <v>0</v>
      </c>
      <c r="R228" s="52">
        <v>47660.913</v>
      </c>
      <c r="S228" s="52" t="b">
        <v>1</v>
      </c>
      <c r="T228" s="52">
        <v>3</v>
      </c>
      <c r="U228" s="52">
        <v>17</v>
      </c>
    </row>
    <row r="229" spans="1:21" x14ac:dyDescent="0.25">
      <c r="A229" s="52">
        <v>49</v>
      </c>
      <c r="B229" s="52" t="s">
        <v>61</v>
      </c>
      <c r="C229" s="52" t="b">
        <v>0</v>
      </c>
      <c r="D229" s="52" t="s">
        <v>170</v>
      </c>
      <c r="E229" s="52" t="s">
        <v>45</v>
      </c>
      <c r="F229" s="52" t="s">
        <v>38</v>
      </c>
      <c r="G229" s="52" t="s">
        <v>10</v>
      </c>
      <c r="H229" s="52" t="s">
        <v>39</v>
      </c>
      <c r="I229" s="52" t="s">
        <v>139</v>
      </c>
      <c r="J229" s="52">
        <v>2.1290266610254327</v>
      </c>
      <c r="K229" s="52" t="s">
        <v>160</v>
      </c>
      <c r="L229" s="52" t="s">
        <v>160</v>
      </c>
      <c r="M229" s="52" t="s">
        <v>41</v>
      </c>
      <c r="N229" s="52">
        <v>0</v>
      </c>
      <c r="O229" s="52" t="s">
        <v>160</v>
      </c>
      <c r="P229" s="52" t="s">
        <v>160</v>
      </c>
      <c r="Q229" s="52" t="b">
        <v>0</v>
      </c>
      <c r="R229" s="52">
        <v>161088.065</v>
      </c>
      <c r="S229" s="52" t="b">
        <v>1</v>
      </c>
      <c r="T229" s="52">
        <v>3</v>
      </c>
      <c r="U229" s="52">
        <v>49</v>
      </c>
    </row>
    <row r="230" spans="1:21" x14ac:dyDescent="0.25">
      <c r="A230" s="52">
        <v>50</v>
      </c>
      <c r="B230" s="52" t="s">
        <v>68</v>
      </c>
      <c r="C230" s="52" t="b">
        <v>0</v>
      </c>
      <c r="D230" s="52" t="s">
        <v>171</v>
      </c>
      <c r="E230" s="52" t="s">
        <v>37</v>
      </c>
      <c r="F230" s="52" t="s">
        <v>38</v>
      </c>
      <c r="G230" s="52" t="s">
        <v>11</v>
      </c>
      <c r="H230" s="52" t="s">
        <v>39</v>
      </c>
      <c r="I230" s="52" t="s">
        <v>47</v>
      </c>
      <c r="J230" s="52">
        <v>2.736657932240731</v>
      </c>
      <c r="K230" s="52" t="s">
        <v>160</v>
      </c>
      <c r="L230" s="52" t="s">
        <v>160</v>
      </c>
      <c r="M230" s="52">
        <v>28.9033577671049</v>
      </c>
      <c r="N230" s="52">
        <v>0.9755717449044643</v>
      </c>
      <c r="O230" s="52">
        <v>28.9033577671049</v>
      </c>
      <c r="P230" s="52" t="s">
        <v>160</v>
      </c>
      <c r="Q230" s="52" t="b">
        <v>0</v>
      </c>
      <c r="R230" s="52">
        <v>74142.899999999994</v>
      </c>
      <c r="S230" s="52" t="b">
        <v>1</v>
      </c>
      <c r="T230" s="52">
        <v>3</v>
      </c>
      <c r="U230" s="52">
        <v>20</v>
      </c>
    </row>
    <row r="231" spans="1:21" x14ac:dyDescent="0.25">
      <c r="A231" s="52">
        <v>50</v>
      </c>
      <c r="B231" s="52" t="s">
        <v>68</v>
      </c>
      <c r="C231" s="52" t="b">
        <v>0</v>
      </c>
      <c r="D231" s="52" t="s">
        <v>171</v>
      </c>
      <c r="E231" s="52" t="s">
        <v>42</v>
      </c>
      <c r="F231" s="52" t="s">
        <v>38</v>
      </c>
      <c r="G231" s="52" t="s">
        <v>13</v>
      </c>
      <c r="H231" s="52" t="s">
        <v>39</v>
      </c>
      <c r="I231" s="52" t="s">
        <v>47</v>
      </c>
      <c r="J231" s="52">
        <v>2.6663540214009145</v>
      </c>
      <c r="K231" s="52" t="s">
        <v>160</v>
      </c>
      <c r="L231" s="52" t="s">
        <v>160</v>
      </c>
      <c r="M231" s="52">
        <v>31.45822122755493</v>
      </c>
      <c r="N231" s="52">
        <v>0.90000612284755455</v>
      </c>
      <c r="O231" s="52">
        <v>31.45822122755493</v>
      </c>
      <c r="P231" s="52" t="s">
        <v>160</v>
      </c>
      <c r="Q231" s="52" t="b">
        <v>0</v>
      </c>
      <c r="R231" s="52">
        <v>46910.862999999998</v>
      </c>
      <c r="S231" s="52" t="b">
        <v>1</v>
      </c>
      <c r="T231" s="52">
        <v>3</v>
      </c>
      <c r="U231" s="52">
        <v>24</v>
      </c>
    </row>
    <row r="232" spans="1:21" x14ac:dyDescent="0.25">
      <c r="A232" s="52">
        <v>50</v>
      </c>
      <c r="B232" s="52" t="s">
        <v>68</v>
      </c>
      <c r="C232" s="52" t="b">
        <v>0</v>
      </c>
      <c r="D232" s="52" t="s">
        <v>171</v>
      </c>
      <c r="E232" s="52" t="s">
        <v>43</v>
      </c>
      <c r="F232" s="52" t="s">
        <v>38</v>
      </c>
      <c r="G232" s="52" t="s">
        <v>12</v>
      </c>
      <c r="H232" s="52" t="s">
        <v>39</v>
      </c>
      <c r="I232" s="52" t="s">
        <v>40</v>
      </c>
      <c r="J232" s="52">
        <v>0</v>
      </c>
      <c r="K232" s="52" t="s">
        <v>160</v>
      </c>
      <c r="L232" s="52" t="s">
        <v>160</v>
      </c>
      <c r="M232" s="52" t="s">
        <v>41</v>
      </c>
      <c r="N232" s="52">
        <v>0</v>
      </c>
      <c r="O232" s="52" t="s">
        <v>160</v>
      </c>
      <c r="P232" s="52" t="s">
        <v>160</v>
      </c>
      <c r="Q232" s="52" t="b">
        <v>0</v>
      </c>
      <c r="R232" s="52">
        <v>69932.437000000005</v>
      </c>
      <c r="S232" s="52" t="b">
        <v>1</v>
      </c>
      <c r="T232" s="52">
        <v>3</v>
      </c>
      <c r="U232" s="52">
        <v>49</v>
      </c>
    </row>
    <row r="233" spans="1:21" x14ac:dyDescent="0.25">
      <c r="A233" s="52">
        <v>50</v>
      </c>
      <c r="B233" s="52" t="s">
        <v>68</v>
      </c>
      <c r="C233" s="52" t="b">
        <v>0</v>
      </c>
      <c r="D233" s="52" t="s">
        <v>171</v>
      </c>
      <c r="E233" s="52" t="s">
        <v>44</v>
      </c>
      <c r="F233" s="52" t="s">
        <v>38</v>
      </c>
      <c r="G233" s="52" t="s">
        <v>14</v>
      </c>
      <c r="H233" s="52" t="s">
        <v>39</v>
      </c>
      <c r="I233" s="52" t="s">
        <v>47</v>
      </c>
      <c r="J233" s="52">
        <v>2.588682519400705</v>
      </c>
      <c r="K233" s="52" t="s">
        <v>160</v>
      </c>
      <c r="L233" s="52" t="s">
        <v>160</v>
      </c>
      <c r="M233" s="52">
        <v>25.826784841183382</v>
      </c>
      <c r="N233" s="52">
        <v>0.88490496369049509</v>
      </c>
      <c r="O233" s="52">
        <v>25.826784841183382</v>
      </c>
      <c r="P233" s="52" t="s">
        <v>160</v>
      </c>
      <c r="Q233" s="52" t="b">
        <v>0</v>
      </c>
      <c r="R233" s="52">
        <v>47660.913</v>
      </c>
      <c r="S233" s="52" t="b">
        <v>1</v>
      </c>
      <c r="T233" s="52">
        <v>3</v>
      </c>
      <c r="U233" s="52">
        <v>19</v>
      </c>
    </row>
    <row r="234" spans="1:21" x14ac:dyDescent="0.25">
      <c r="A234" s="52">
        <v>50</v>
      </c>
      <c r="B234" s="52" t="s">
        <v>68</v>
      </c>
      <c r="C234" s="52" t="b">
        <v>0</v>
      </c>
      <c r="D234" s="52" t="s">
        <v>171</v>
      </c>
      <c r="E234" s="52" t="s">
        <v>45</v>
      </c>
      <c r="F234" s="52" t="s">
        <v>38</v>
      </c>
      <c r="G234" s="52" t="s">
        <v>10</v>
      </c>
      <c r="H234" s="52" t="s">
        <v>39</v>
      </c>
      <c r="I234" s="52" t="s">
        <v>40</v>
      </c>
      <c r="J234" s="52">
        <v>0</v>
      </c>
      <c r="K234" s="52" t="s">
        <v>160</v>
      </c>
      <c r="L234" s="52" t="s">
        <v>160</v>
      </c>
      <c r="M234" s="52" t="s">
        <v>41</v>
      </c>
      <c r="N234" s="52">
        <v>0</v>
      </c>
      <c r="O234" s="52" t="s">
        <v>160</v>
      </c>
      <c r="P234" s="52" t="s">
        <v>160</v>
      </c>
      <c r="Q234" s="52" t="b">
        <v>0</v>
      </c>
      <c r="R234" s="52">
        <v>161088.065</v>
      </c>
      <c r="S234" s="52" t="b">
        <v>1</v>
      </c>
      <c r="T234" s="52">
        <v>3</v>
      </c>
      <c r="U234" s="52">
        <v>49</v>
      </c>
    </row>
    <row r="235" spans="1:21" x14ac:dyDescent="0.25">
      <c r="A235" s="52">
        <v>51</v>
      </c>
      <c r="B235" s="52" t="s">
        <v>69</v>
      </c>
      <c r="C235" s="52" t="b">
        <v>0</v>
      </c>
      <c r="D235" s="52" t="s">
        <v>172</v>
      </c>
      <c r="E235" s="52" t="s">
        <v>37</v>
      </c>
      <c r="F235" s="52" t="s">
        <v>38</v>
      </c>
      <c r="G235" s="52" t="s">
        <v>11</v>
      </c>
      <c r="H235" s="52" t="s">
        <v>39</v>
      </c>
      <c r="I235" s="52" t="s">
        <v>47</v>
      </c>
      <c r="J235" s="52">
        <v>2.750376606561876</v>
      </c>
      <c r="K235" s="52" t="s">
        <v>160</v>
      </c>
      <c r="L235" s="52" t="s">
        <v>160</v>
      </c>
      <c r="M235" s="52">
        <v>28.806145576739674</v>
      </c>
      <c r="N235" s="52">
        <v>0.97156116811406512</v>
      </c>
      <c r="O235" s="52">
        <v>28.806145576739674</v>
      </c>
      <c r="P235" s="52" t="s">
        <v>160</v>
      </c>
      <c r="Q235" s="52" t="b">
        <v>0</v>
      </c>
      <c r="R235" s="52">
        <v>74142.899999999994</v>
      </c>
      <c r="S235" s="52" t="b">
        <v>1</v>
      </c>
      <c r="T235" s="52">
        <v>3</v>
      </c>
      <c r="U235" s="52">
        <v>20</v>
      </c>
    </row>
    <row r="236" spans="1:21" x14ac:dyDescent="0.25">
      <c r="A236" s="52">
        <v>51</v>
      </c>
      <c r="B236" s="52" t="s">
        <v>69</v>
      </c>
      <c r="C236" s="52" t="b">
        <v>0</v>
      </c>
      <c r="D236" s="52" t="s">
        <v>172</v>
      </c>
      <c r="E236" s="52" t="s">
        <v>42</v>
      </c>
      <c r="F236" s="52" t="s">
        <v>38</v>
      </c>
      <c r="G236" s="52" t="s">
        <v>13</v>
      </c>
      <c r="H236" s="52" t="s">
        <v>39</v>
      </c>
      <c r="I236" s="52" t="s">
        <v>47</v>
      </c>
      <c r="J236" s="52">
        <v>2.6585713733027436</v>
      </c>
      <c r="K236" s="52" t="s">
        <v>160</v>
      </c>
      <c r="L236" s="52" t="s">
        <v>160</v>
      </c>
      <c r="M236" s="52">
        <v>31.746598620228724</v>
      </c>
      <c r="N236" s="52">
        <v>0.91470535522489516</v>
      </c>
      <c r="O236" s="52">
        <v>31.746598620228724</v>
      </c>
      <c r="P236" s="52" t="s">
        <v>160</v>
      </c>
      <c r="Q236" s="52" t="b">
        <v>0</v>
      </c>
      <c r="R236" s="52">
        <v>46910.862999999998</v>
      </c>
      <c r="S236" s="52" t="b">
        <v>1</v>
      </c>
      <c r="T236" s="52">
        <v>3</v>
      </c>
      <c r="U236" s="52">
        <v>24</v>
      </c>
    </row>
    <row r="237" spans="1:21" x14ac:dyDescent="0.25">
      <c r="A237" s="52">
        <v>51</v>
      </c>
      <c r="B237" s="52" t="s">
        <v>69</v>
      </c>
      <c r="C237" s="52" t="b">
        <v>0</v>
      </c>
      <c r="D237" s="52" t="s">
        <v>172</v>
      </c>
      <c r="E237" s="52" t="s">
        <v>43</v>
      </c>
      <c r="F237" s="52" t="s">
        <v>38</v>
      </c>
      <c r="G237" s="52" t="s">
        <v>12</v>
      </c>
      <c r="H237" s="52" t="s">
        <v>39</v>
      </c>
      <c r="I237" s="52" t="s">
        <v>139</v>
      </c>
      <c r="J237" s="52">
        <v>0</v>
      </c>
      <c r="K237" s="52" t="s">
        <v>160</v>
      </c>
      <c r="L237" s="52" t="s">
        <v>160</v>
      </c>
      <c r="M237" s="52" t="s">
        <v>41</v>
      </c>
      <c r="N237" s="52">
        <v>0</v>
      </c>
      <c r="O237" s="52" t="s">
        <v>160</v>
      </c>
      <c r="P237" s="52" t="s">
        <v>160</v>
      </c>
      <c r="Q237" s="52" t="b">
        <v>0</v>
      </c>
      <c r="R237" s="52">
        <v>69932.437000000005</v>
      </c>
      <c r="S237" s="52" t="b">
        <v>1</v>
      </c>
      <c r="T237" s="52">
        <v>3</v>
      </c>
      <c r="U237" s="52">
        <v>49</v>
      </c>
    </row>
    <row r="238" spans="1:21" x14ac:dyDescent="0.25">
      <c r="A238" s="52">
        <v>51</v>
      </c>
      <c r="B238" s="52" t="s">
        <v>69</v>
      </c>
      <c r="C238" s="52" t="b">
        <v>0</v>
      </c>
      <c r="D238" s="52" t="s">
        <v>172</v>
      </c>
      <c r="E238" s="52" t="s">
        <v>44</v>
      </c>
      <c r="F238" s="52" t="s">
        <v>38</v>
      </c>
      <c r="G238" s="52" t="s">
        <v>14</v>
      </c>
      <c r="H238" s="52" t="s">
        <v>39</v>
      </c>
      <c r="I238" s="52" t="s">
        <v>47</v>
      </c>
      <c r="J238" s="52">
        <v>2.6296141895376937</v>
      </c>
      <c r="K238" s="52" t="s">
        <v>160</v>
      </c>
      <c r="L238" s="52" t="s">
        <v>160</v>
      </c>
      <c r="M238" s="52">
        <v>25.366207564083318</v>
      </c>
      <c r="N238" s="52">
        <v>0.93221363452763362</v>
      </c>
      <c r="O238" s="52">
        <v>25.366207564083318</v>
      </c>
      <c r="P238" s="52" t="s">
        <v>160</v>
      </c>
      <c r="Q238" s="52" t="b">
        <v>0</v>
      </c>
      <c r="R238" s="52">
        <v>47660.913</v>
      </c>
      <c r="S238" s="52" t="b">
        <v>1</v>
      </c>
      <c r="T238" s="52">
        <v>3</v>
      </c>
      <c r="U238" s="52">
        <v>17</v>
      </c>
    </row>
    <row r="239" spans="1:21" x14ac:dyDescent="0.25">
      <c r="A239" s="52">
        <v>51</v>
      </c>
      <c r="B239" s="52" t="s">
        <v>69</v>
      </c>
      <c r="C239" s="52" t="b">
        <v>0</v>
      </c>
      <c r="D239" s="52" t="s">
        <v>172</v>
      </c>
      <c r="E239" s="52" t="s">
        <v>45</v>
      </c>
      <c r="F239" s="52" t="s">
        <v>38</v>
      </c>
      <c r="G239" s="52" t="s">
        <v>10</v>
      </c>
      <c r="H239" s="52" t="s">
        <v>39</v>
      </c>
      <c r="I239" s="52" t="s">
        <v>139</v>
      </c>
      <c r="J239" s="52">
        <v>2.0835811009360596</v>
      </c>
      <c r="K239" s="52" t="s">
        <v>160</v>
      </c>
      <c r="L239" s="52" t="s">
        <v>160</v>
      </c>
      <c r="M239" s="52" t="s">
        <v>41</v>
      </c>
      <c r="N239" s="52">
        <v>0</v>
      </c>
      <c r="O239" s="52" t="s">
        <v>160</v>
      </c>
      <c r="P239" s="52" t="s">
        <v>160</v>
      </c>
      <c r="Q239" s="52" t="b">
        <v>0</v>
      </c>
      <c r="R239" s="52">
        <v>161088.065</v>
      </c>
      <c r="S239" s="52" t="b">
        <v>1</v>
      </c>
      <c r="T239" s="52">
        <v>3</v>
      </c>
      <c r="U239" s="52">
        <v>49</v>
      </c>
    </row>
    <row r="240" spans="1:21" x14ac:dyDescent="0.25">
      <c r="A240" s="52">
        <v>52</v>
      </c>
      <c r="B240" s="52" t="s">
        <v>70</v>
      </c>
      <c r="C240" s="52" t="b">
        <v>0</v>
      </c>
      <c r="D240" s="52" t="s">
        <v>173</v>
      </c>
      <c r="E240" s="52" t="s">
        <v>37</v>
      </c>
      <c r="F240" s="52" t="s">
        <v>38</v>
      </c>
      <c r="G240" s="52" t="s">
        <v>11</v>
      </c>
      <c r="H240" s="52" t="s">
        <v>39</v>
      </c>
      <c r="I240" s="52" t="s">
        <v>47</v>
      </c>
      <c r="J240" s="52">
        <v>2.7442498437130642</v>
      </c>
      <c r="K240" s="52" t="s">
        <v>160</v>
      </c>
      <c r="L240" s="52" t="s">
        <v>160</v>
      </c>
      <c r="M240" s="52">
        <v>30.838711801566269</v>
      </c>
      <c r="N240" s="52">
        <v>0.97096342776690669</v>
      </c>
      <c r="O240" s="52">
        <v>30.838711801566269</v>
      </c>
      <c r="P240" s="52" t="s">
        <v>160</v>
      </c>
      <c r="Q240" s="52" t="b">
        <v>0</v>
      </c>
      <c r="R240" s="52">
        <v>74142.899999999994</v>
      </c>
      <c r="S240" s="52" t="b">
        <v>1</v>
      </c>
      <c r="T240" s="52">
        <v>3</v>
      </c>
      <c r="U240" s="52">
        <v>24</v>
      </c>
    </row>
    <row r="241" spans="1:21" x14ac:dyDescent="0.25">
      <c r="A241" s="52">
        <v>52</v>
      </c>
      <c r="B241" s="52" t="s">
        <v>70</v>
      </c>
      <c r="C241" s="52" t="b">
        <v>0</v>
      </c>
      <c r="D241" s="52" t="s">
        <v>173</v>
      </c>
      <c r="E241" s="52" t="s">
        <v>42</v>
      </c>
      <c r="F241" s="52" t="s">
        <v>38</v>
      </c>
      <c r="G241" s="52" t="s">
        <v>13</v>
      </c>
      <c r="H241" s="52" t="s">
        <v>39</v>
      </c>
      <c r="I241" s="52" t="s">
        <v>47</v>
      </c>
      <c r="J241" s="52">
        <v>2.6589217610803115</v>
      </c>
      <c r="K241" s="52" t="s">
        <v>160</v>
      </c>
      <c r="L241" s="52" t="s">
        <v>160</v>
      </c>
      <c r="M241" s="52">
        <v>32.904757418180793</v>
      </c>
      <c r="N241" s="52">
        <v>0.9204916634924748</v>
      </c>
      <c r="O241" s="52">
        <v>32.904757418180793</v>
      </c>
      <c r="P241" s="52" t="s">
        <v>160</v>
      </c>
      <c r="Q241" s="52" t="b">
        <v>0</v>
      </c>
      <c r="R241" s="52">
        <v>46910.862999999998</v>
      </c>
      <c r="S241" s="52" t="b">
        <v>1</v>
      </c>
      <c r="T241" s="52">
        <v>3</v>
      </c>
      <c r="U241" s="52">
        <v>28</v>
      </c>
    </row>
    <row r="242" spans="1:21" x14ac:dyDescent="0.25">
      <c r="A242" s="52">
        <v>52</v>
      </c>
      <c r="B242" s="52" t="s">
        <v>70</v>
      </c>
      <c r="C242" s="52" t="b">
        <v>0</v>
      </c>
      <c r="D242" s="52" t="s">
        <v>173</v>
      </c>
      <c r="E242" s="52" t="s">
        <v>43</v>
      </c>
      <c r="F242" s="52" t="s">
        <v>38</v>
      </c>
      <c r="G242" s="52" t="s">
        <v>12</v>
      </c>
      <c r="H242" s="52" t="s">
        <v>39</v>
      </c>
      <c r="I242" s="52" t="s">
        <v>139</v>
      </c>
      <c r="J242" s="52">
        <v>0</v>
      </c>
      <c r="K242" s="52" t="s">
        <v>160</v>
      </c>
      <c r="L242" s="52" t="s">
        <v>160</v>
      </c>
      <c r="M242" s="52" t="s">
        <v>41</v>
      </c>
      <c r="N242" s="52">
        <v>0</v>
      </c>
      <c r="O242" s="52" t="s">
        <v>160</v>
      </c>
      <c r="P242" s="52" t="s">
        <v>160</v>
      </c>
      <c r="Q242" s="52" t="b">
        <v>0</v>
      </c>
      <c r="R242" s="52">
        <v>69932.437000000005</v>
      </c>
      <c r="S242" s="52" t="b">
        <v>1</v>
      </c>
      <c r="T242" s="52">
        <v>3</v>
      </c>
      <c r="U242" s="52">
        <v>49</v>
      </c>
    </row>
    <row r="243" spans="1:21" x14ac:dyDescent="0.25">
      <c r="A243" s="52">
        <v>52</v>
      </c>
      <c r="B243" s="52" t="s">
        <v>70</v>
      </c>
      <c r="C243" s="52" t="b">
        <v>0</v>
      </c>
      <c r="D243" s="52" t="s">
        <v>173</v>
      </c>
      <c r="E243" s="52" t="s">
        <v>44</v>
      </c>
      <c r="F243" s="52" t="s">
        <v>38</v>
      </c>
      <c r="G243" s="52" t="s">
        <v>14</v>
      </c>
      <c r="H243" s="52" t="s">
        <v>39</v>
      </c>
      <c r="I243" s="52" t="s">
        <v>47</v>
      </c>
      <c r="J243" s="52">
        <v>2.6395636167226777</v>
      </c>
      <c r="K243" s="52" t="s">
        <v>160</v>
      </c>
      <c r="L243" s="52" t="s">
        <v>160</v>
      </c>
      <c r="M243" s="52">
        <v>26.812115382527082</v>
      </c>
      <c r="N243" s="52">
        <v>0.88943548531560856</v>
      </c>
      <c r="O243" s="52">
        <v>26.812115382527082</v>
      </c>
      <c r="P243" s="52" t="s">
        <v>160</v>
      </c>
      <c r="Q243" s="52" t="b">
        <v>0</v>
      </c>
      <c r="R243" s="52">
        <v>47660.913</v>
      </c>
      <c r="S243" s="52" t="b">
        <v>1</v>
      </c>
      <c r="T243" s="52">
        <v>3</v>
      </c>
      <c r="U243" s="52">
        <v>19</v>
      </c>
    </row>
    <row r="244" spans="1:21" x14ac:dyDescent="0.25">
      <c r="A244" s="52">
        <v>52</v>
      </c>
      <c r="B244" s="52" t="s">
        <v>70</v>
      </c>
      <c r="C244" s="52" t="b">
        <v>0</v>
      </c>
      <c r="D244" s="52" t="s">
        <v>173</v>
      </c>
      <c r="E244" s="52" t="s">
        <v>45</v>
      </c>
      <c r="F244" s="52" t="s">
        <v>38</v>
      </c>
      <c r="G244" s="52" t="s">
        <v>10</v>
      </c>
      <c r="H244" s="52" t="s">
        <v>39</v>
      </c>
      <c r="I244" s="52" t="s">
        <v>139</v>
      </c>
      <c r="J244" s="52">
        <v>2.069854949448402</v>
      </c>
      <c r="K244" s="52" t="s">
        <v>160</v>
      </c>
      <c r="L244" s="52" t="s">
        <v>160</v>
      </c>
      <c r="M244" s="52" t="s">
        <v>41</v>
      </c>
      <c r="N244" s="52">
        <v>0</v>
      </c>
      <c r="O244" s="52" t="s">
        <v>160</v>
      </c>
      <c r="P244" s="52" t="s">
        <v>160</v>
      </c>
      <c r="Q244" s="52" t="b">
        <v>0</v>
      </c>
      <c r="R244" s="52">
        <v>161088.065</v>
      </c>
      <c r="S244" s="52" t="b">
        <v>1</v>
      </c>
      <c r="T244" s="52">
        <v>3</v>
      </c>
      <c r="U244" s="52">
        <v>49</v>
      </c>
    </row>
    <row r="245" spans="1:21" x14ac:dyDescent="0.25">
      <c r="A245" s="52">
        <v>53</v>
      </c>
      <c r="B245" s="52" t="s">
        <v>71</v>
      </c>
      <c r="C245" s="52" t="b">
        <v>0</v>
      </c>
      <c r="D245" s="52" t="s">
        <v>174</v>
      </c>
      <c r="E245" s="52" t="s">
        <v>37</v>
      </c>
      <c r="F245" s="52" t="s">
        <v>38</v>
      </c>
      <c r="G245" s="52" t="s">
        <v>11</v>
      </c>
      <c r="H245" s="52" t="s">
        <v>39</v>
      </c>
      <c r="I245" s="52" t="s">
        <v>47</v>
      </c>
      <c r="J245" s="52">
        <v>0</v>
      </c>
      <c r="K245" s="52" t="s">
        <v>160</v>
      </c>
      <c r="L245" s="52" t="s">
        <v>160</v>
      </c>
      <c r="M245" s="52">
        <v>27.08000733047912</v>
      </c>
      <c r="N245" s="52">
        <v>0.97135376070258506</v>
      </c>
      <c r="O245" s="52">
        <v>27.08000733047912</v>
      </c>
      <c r="P245" s="52" t="s">
        <v>160</v>
      </c>
      <c r="Q245" s="52" t="b">
        <v>0</v>
      </c>
      <c r="R245" s="52">
        <v>74142.899999999994</v>
      </c>
      <c r="S245" s="52" t="b">
        <v>1</v>
      </c>
      <c r="T245" s="52">
        <v>3</v>
      </c>
      <c r="U245" s="52">
        <v>19</v>
      </c>
    </row>
    <row r="246" spans="1:21" x14ac:dyDescent="0.25">
      <c r="A246" s="52">
        <v>53</v>
      </c>
      <c r="B246" s="52" t="s">
        <v>71</v>
      </c>
      <c r="C246" s="52" t="b">
        <v>0</v>
      </c>
      <c r="D246" s="52" t="s">
        <v>174</v>
      </c>
      <c r="E246" s="52" t="s">
        <v>42</v>
      </c>
      <c r="F246" s="52" t="s">
        <v>38</v>
      </c>
      <c r="G246" s="52" t="s">
        <v>13</v>
      </c>
      <c r="H246" s="52" t="s">
        <v>39</v>
      </c>
      <c r="I246" s="52" t="s">
        <v>47</v>
      </c>
      <c r="J246" s="52">
        <v>2.694837708429842</v>
      </c>
      <c r="K246" s="52" t="s">
        <v>160</v>
      </c>
      <c r="L246" s="52" t="s">
        <v>160</v>
      </c>
      <c r="M246" s="52">
        <v>29.676808240705746</v>
      </c>
      <c r="N246" s="52">
        <v>0.95329122383082832</v>
      </c>
      <c r="O246" s="52">
        <v>29.676808240705746</v>
      </c>
      <c r="P246" s="52" t="s">
        <v>160</v>
      </c>
      <c r="Q246" s="52" t="b">
        <v>0</v>
      </c>
      <c r="R246" s="52">
        <v>46910.862999999998</v>
      </c>
      <c r="S246" s="52" t="b">
        <v>1</v>
      </c>
      <c r="T246" s="52">
        <v>3</v>
      </c>
      <c r="U246" s="52">
        <v>24</v>
      </c>
    </row>
    <row r="247" spans="1:21" x14ac:dyDescent="0.25">
      <c r="A247" s="52">
        <v>53</v>
      </c>
      <c r="B247" s="52" t="s">
        <v>71</v>
      </c>
      <c r="C247" s="52" t="b">
        <v>0</v>
      </c>
      <c r="D247" s="52" t="s">
        <v>174</v>
      </c>
      <c r="E247" s="52" t="s">
        <v>43</v>
      </c>
      <c r="F247" s="52" t="s">
        <v>38</v>
      </c>
      <c r="G247" s="52" t="s">
        <v>12</v>
      </c>
      <c r="H247" s="52" t="s">
        <v>39</v>
      </c>
      <c r="I247" s="52" t="s">
        <v>40</v>
      </c>
      <c r="J247" s="52">
        <v>0</v>
      </c>
      <c r="K247" s="52" t="s">
        <v>160</v>
      </c>
      <c r="L247" s="52" t="s">
        <v>160</v>
      </c>
      <c r="M247" s="52" t="s">
        <v>41</v>
      </c>
      <c r="N247" s="52">
        <v>0</v>
      </c>
      <c r="O247" s="52" t="s">
        <v>160</v>
      </c>
      <c r="P247" s="52" t="s">
        <v>160</v>
      </c>
      <c r="Q247" s="52" t="b">
        <v>0</v>
      </c>
      <c r="R247" s="52">
        <v>69932.437000000005</v>
      </c>
      <c r="S247" s="52" t="b">
        <v>1</v>
      </c>
      <c r="T247" s="52">
        <v>3</v>
      </c>
      <c r="U247" s="52">
        <v>49</v>
      </c>
    </row>
    <row r="248" spans="1:21" x14ac:dyDescent="0.25">
      <c r="A248" s="52">
        <v>53</v>
      </c>
      <c r="B248" s="52" t="s">
        <v>71</v>
      </c>
      <c r="C248" s="52" t="b">
        <v>0</v>
      </c>
      <c r="D248" s="52" t="s">
        <v>174</v>
      </c>
      <c r="E248" s="52" t="s">
        <v>44</v>
      </c>
      <c r="F248" s="52" t="s">
        <v>38</v>
      </c>
      <c r="G248" s="52" t="s">
        <v>14</v>
      </c>
      <c r="H248" s="52" t="s">
        <v>39</v>
      </c>
      <c r="I248" s="52" t="s">
        <v>47</v>
      </c>
      <c r="J248" s="52">
        <v>2.6746611695500038</v>
      </c>
      <c r="K248" s="52" t="s">
        <v>160</v>
      </c>
      <c r="L248" s="52" t="s">
        <v>160</v>
      </c>
      <c r="M248" s="52">
        <v>23.4490323149003</v>
      </c>
      <c r="N248" s="52">
        <v>0.95477576527946917</v>
      </c>
      <c r="O248" s="52">
        <v>23.4490323149003</v>
      </c>
      <c r="P248" s="52" t="s">
        <v>160</v>
      </c>
      <c r="Q248" s="52" t="b">
        <v>0</v>
      </c>
      <c r="R248" s="52">
        <v>47660.913</v>
      </c>
      <c r="S248" s="52" t="b">
        <v>1</v>
      </c>
      <c r="T248" s="52">
        <v>3</v>
      </c>
      <c r="U248" s="52">
        <v>17</v>
      </c>
    </row>
    <row r="249" spans="1:21" x14ac:dyDescent="0.25">
      <c r="A249" s="52">
        <v>53</v>
      </c>
      <c r="B249" s="52" t="s">
        <v>71</v>
      </c>
      <c r="C249" s="52" t="b">
        <v>0</v>
      </c>
      <c r="D249" s="52" t="s">
        <v>174</v>
      </c>
      <c r="E249" s="52" t="s">
        <v>45</v>
      </c>
      <c r="F249" s="52" t="s">
        <v>38</v>
      </c>
      <c r="G249" s="52" t="s">
        <v>10</v>
      </c>
      <c r="H249" s="52" t="s">
        <v>39</v>
      </c>
      <c r="I249" s="52" t="s">
        <v>40</v>
      </c>
      <c r="J249" s="52">
        <v>0</v>
      </c>
      <c r="K249" s="52" t="s">
        <v>160</v>
      </c>
      <c r="L249" s="52" t="s">
        <v>160</v>
      </c>
      <c r="M249" s="52" t="s">
        <v>41</v>
      </c>
      <c r="N249" s="52">
        <v>0</v>
      </c>
      <c r="O249" s="52" t="s">
        <v>160</v>
      </c>
      <c r="P249" s="52" t="s">
        <v>160</v>
      </c>
      <c r="Q249" s="52" t="b">
        <v>0</v>
      </c>
      <c r="R249" s="52">
        <v>161088.065</v>
      </c>
      <c r="S249" s="52" t="b">
        <v>1</v>
      </c>
      <c r="T249" s="52">
        <v>3</v>
      </c>
      <c r="U249" s="52">
        <v>49</v>
      </c>
    </row>
    <row r="250" spans="1:21" x14ac:dyDescent="0.25">
      <c r="A250" s="52">
        <v>54</v>
      </c>
      <c r="B250" s="52" t="s">
        <v>255</v>
      </c>
      <c r="C250" s="52" t="b">
        <v>0</v>
      </c>
      <c r="D250" s="52" t="s">
        <v>256</v>
      </c>
      <c r="E250" s="52" t="s">
        <v>37</v>
      </c>
      <c r="F250" s="52" t="s">
        <v>38</v>
      </c>
      <c r="G250" s="52" t="s">
        <v>11</v>
      </c>
      <c r="H250" s="52" t="s">
        <v>39</v>
      </c>
      <c r="I250" s="52" t="s">
        <v>47</v>
      </c>
      <c r="J250" s="52">
        <v>2.7749036940446121</v>
      </c>
      <c r="K250" s="52" t="s">
        <v>160</v>
      </c>
      <c r="L250" s="52" t="s">
        <v>160</v>
      </c>
      <c r="M250" s="52">
        <v>22.435158077394171</v>
      </c>
      <c r="N250" s="52">
        <v>0.96526334821566684</v>
      </c>
      <c r="O250" s="52">
        <v>22.435158077394171</v>
      </c>
      <c r="P250" s="52" t="s">
        <v>160</v>
      </c>
      <c r="Q250" s="52" t="b">
        <v>0</v>
      </c>
      <c r="R250" s="52">
        <v>74142.899999999994</v>
      </c>
      <c r="S250" s="52" t="b">
        <v>1</v>
      </c>
      <c r="T250" s="52">
        <v>3</v>
      </c>
      <c r="U250" s="52">
        <v>15</v>
      </c>
    </row>
    <row r="251" spans="1:21" x14ac:dyDescent="0.25">
      <c r="A251" s="52">
        <v>54</v>
      </c>
      <c r="B251" s="52" t="s">
        <v>255</v>
      </c>
      <c r="C251" s="52" t="b">
        <v>0</v>
      </c>
      <c r="D251" s="52" t="s">
        <v>256</v>
      </c>
      <c r="E251" s="52" t="s">
        <v>42</v>
      </c>
      <c r="F251" s="52" t="s">
        <v>38</v>
      </c>
      <c r="G251" s="52" t="s">
        <v>13</v>
      </c>
      <c r="H251" s="52" t="s">
        <v>39</v>
      </c>
      <c r="I251" s="52" t="s">
        <v>47</v>
      </c>
      <c r="J251" s="52">
        <v>0</v>
      </c>
      <c r="K251" s="52" t="s">
        <v>160</v>
      </c>
      <c r="L251" s="52" t="s">
        <v>160</v>
      </c>
      <c r="M251" s="52">
        <v>26.997738157179086</v>
      </c>
      <c r="N251" s="52">
        <v>0.94621225814351595</v>
      </c>
      <c r="O251" s="52">
        <v>26.997738157179086</v>
      </c>
      <c r="P251" s="52" t="s">
        <v>160</v>
      </c>
      <c r="Q251" s="52" t="b">
        <v>0</v>
      </c>
      <c r="R251" s="52">
        <v>46910.862999999998</v>
      </c>
      <c r="S251" s="52" t="b">
        <v>1</v>
      </c>
      <c r="T251" s="52">
        <v>3</v>
      </c>
      <c r="U251" s="52">
        <v>20</v>
      </c>
    </row>
    <row r="252" spans="1:21" x14ac:dyDescent="0.25">
      <c r="A252" s="52">
        <v>54</v>
      </c>
      <c r="B252" s="52" t="s">
        <v>255</v>
      </c>
      <c r="C252" s="52" t="b">
        <v>0</v>
      </c>
      <c r="D252" s="52" t="s">
        <v>256</v>
      </c>
      <c r="E252" s="52" t="s">
        <v>43</v>
      </c>
      <c r="F252" s="52" t="s">
        <v>38</v>
      </c>
      <c r="G252" s="52" t="s">
        <v>12</v>
      </c>
      <c r="H252" s="52" t="s">
        <v>39</v>
      </c>
      <c r="I252" s="52" t="s">
        <v>40</v>
      </c>
      <c r="J252" s="52">
        <v>0</v>
      </c>
      <c r="K252" s="52" t="s">
        <v>160</v>
      </c>
      <c r="L252" s="52" t="s">
        <v>160</v>
      </c>
      <c r="M252" s="52" t="s">
        <v>41</v>
      </c>
      <c r="N252" s="52">
        <v>0</v>
      </c>
      <c r="O252" s="52" t="s">
        <v>160</v>
      </c>
      <c r="P252" s="52" t="s">
        <v>160</v>
      </c>
      <c r="Q252" s="52" t="b">
        <v>0</v>
      </c>
      <c r="R252" s="52">
        <v>69932.437000000005</v>
      </c>
      <c r="S252" s="52" t="b">
        <v>1</v>
      </c>
      <c r="T252" s="52">
        <v>3</v>
      </c>
      <c r="U252" s="52">
        <v>49</v>
      </c>
    </row>
    <row r="253" spans="1:21" x14ac:dyDescent="0.25">
      <c r="A253" s="52">
        <v>54</v>
      </c>
      <c r="B253" s="52" t="s">
        <v>255</v>
      </c>
      <c r="C253" s="52" t="b">
        <v>0</v>
      </c>
      <c r="D253" s="52" t="s">
        <v>256</v>
      </c>
      <c r="E253" s="52" t="s">
        <v>44</v>
      </c>
      <c r="F253" s="52" t="s">
        <v>38</v>
      </c>
      <c r="G253" s="52" t="s">
        <v>14</v>
      </c>
      <c r="H253" s="52" t="s">
        <v>39</v>
      </c>
      <c r="I253" s="52" t="s">
        <v>47</v>
      </c>
      <c r="J253" s="52">
        <v>2.693047931694228</v>
      </c>
      <c r="K253" s="52" t="s">
        <v>160</v>
      </c>
      <c r="L253" s="52" t="s">
        <v>160</v>
      </c>
      <c r="M253" s="52">
        <v>22.743009067524738</v>
      </c>
      <c r="N253" s="52">
        <v>0.93130635706066911</v>
      </c>
      <c r="O253" s="52">
        <v>22.743009067524738</v>
      </c>
      <c r="P253" s="52" t="s">
        <v>160</v>
      </c>
      <c r="Q253" s="52" t="b">
        <v>0</v>
      </c>
      <c r="R253" s="52">
        <v>47660.913</v>
      </c>
      <c r="S253" s="52" t="b">
        <v>1</v>
      </c>
      <c r="T253" s="52">
        <v>3</v>
      </c>
      <c r="U253" s="52">
        <v>17</v>
      </c>
    </row>
    <row r="254" spans="1:21" x14ac:dyDescent="0.25">
      <c r="A254" s="52">
        <v>54</v>
      </c>
      <c r="B254" s="52" t="s">
        <v>255</v>
      </c>
      <c r="C254" s="52" t="b">
        <v>0</v>
      </c>
      <c r="D254" s="52" t="s">
        <v>256</v>
      </c>
      <c r="E254" s="52" t="s">
        <v>45</v>
      </c>
      <c r="F254" s="52" t="s">
        <v>38</v>
      </c>
      <c r="G254" s="52" t="s">
        <v>10</v>
      </c>
      <c r="H254" s="52" t="s">
        <v>39</v>
      </c>
      <c r="I254" s="52" t="s">
        <v>40</v>
      </c>
      <c r="J254" s="52">
        <v>0</v>
      </c>
      <c r="K254" s="52" t="s">
        <v>160</v>
      </c>
      <c r="L254" s="52" t="s">
        <v>160</v>
      </c>
      <c r="M254" s="52" t="s">
        <v>41</v>
      </c>
      <c r="N254" s="52">
        <v>0</v>
      </c>
      <c r="O254" s="52" t="s">
        <v>160</v>
      </c>
      <c r="P254" s="52" t="s">
        <v>160</v>
      </c>
      <c r="Q254" s="52" t="b">
        <v>0</v>
      </c>
      <c r="R254" s="52">
        <v>161088.065</v>
      </c>
      <c r="S254" s="52" t="b">
        <v>1</v>
      </c>
      <c r="T254" s="52">
        <v>3</v>
      </c>
      <c r="U254" s="52">
        <v>49</v>
      </c>
    </row>
    <row r="255" spans="1:21" x14ac:dyDescent="0.25">
      <c r="A255" s="52">
        <v>55</v>
      </c>
      <c r="B255" s="52" t="s">
        <v>257</v>
      </c>
      <c r="C255" s="52" t="b">
        <v>0</v>
      </c>
      <c r="D255" s="52" t="s">
        <v>258</v>
      </c>
      <c r="E255" s="52" t="s">
        <v>37</v>
      </c>
      <c r="F255" s="52" t="s">
        <v>38</v>
      </c>
      <c r="G255" s="52" t="s">
        <v>11</v>
      </c>
      <c r="H255" s="52" t="s">
        <v>39</v>
      </c>
      <c r="I255" s="52" t="s">
        <v>47</v>
      </c>
      <c r="J255" s="52">
        <v>2.7871998774952105</v>
      </c>
      <c r="K255" s="52" t="s">
        <v>160</v>
      </c>
      <c r="L255" s="52" t="s">
        <v>160</v>
      </c>
      <c r="M255" s="52">
        <v>20.821242174385638</v>
      </c>
      <c r="N255" s="52">
        <v>0.97267484522196412</v>
      </c>
      <c r="O255" s="52">
        <v>20.821242174385638</v>
      </c>
      <c r="P255" s="52" t="s">
        <v>160</v>
      </c>
      <c r="Q255" s="52" t="b">
        <v>0</v>
      </c>
      <c r="R255" s="52">
        <v>74142.899999999994</v>
      </c>
      <c r="S255" s="52" t="b">
        <v>1</v>
      </c>
      <c r="T255" s="52">
        <v>3</v>
      </c>
      <c r="U255" s="52">
        <v>13</v>
      </c>
    </row>
    <row r="256" spans="1:21" x14ac:dyDescent="0.25">
      <c r="A256" s="52">
        <v>55</v>
      </c>
      <c r="B256" s="52" t="s">
        <v>257</v>
      </c>
      <c r="C256" s="52" t="b">
        <v>0</v>
      </c>
      <c r="D256" s="52" t="s">
        <v>258</v>
      </c>
      <c r="E256" s="52" t="s">
        <v>42</v>
      </c>
      <c r="F256" s="52" t="s">
        <v>38</v>
      </c>
      <c r="G256" s="52" t="s">
        <v>13</v>
      </c>
      <c r="H256" s="52" t="s">
        <v>39</v>
      </c>
      <c r="I256" s="52" t="s">
        <v>47</v>
      </c>
      <c r="J256" s="52">
        <v>0</v>
      </c>
      <c r="K256" s="52" t="s">
        <v>160</v>
      </c>
      <c r="L256" s="52" t="s">
        <v>160</v>
      </c>
      <c r="M256" s="52">
        <v>25.19803972836003</v>
      </c>
      <c r="N256" s="52">
        <v>0.9485410238893931</v>
      </c>
      <c r="O256" s="52">
        <v>25.19803972836003</v>
      </c>
      <c r="P256" s="52" t="s">
        <v>160</v>
      </c>
      <c r="Q256" s="52" t="b">
        <v>0</v>
      </c>
      <c r="R256" s="52">
        <v>46910.862999999998</v>
      </c>
      <c r="S256" s="52" t="b">
        <v>1</v>
      </c>
      <c r="T256" s="52">
        <v>3</v>
      </c>
      <c r="U256" s="52">
        <v>20</v>
      </c>
    </row>
    <row r="257" spans="1:21" x14ac:dyDescent="0.25">
      <c r="A257" s="52">
        <v>55</v>
      </c>
      <c r="B257" s="52" t="s">
        <v>257</v>
      </c>
      <c r="C257" s="52" t="b">
        <v>0</v>
      </c>
      <c r="D257" s="52" t="s">
        <v>258</v>
      </c>
      <c r="E257" s="52" t="s">
        <v>43</v>
      </c>
      <c r="F257" s="52" t="s">
        <v>38</v>
      </c>
      <c r="G257" s="52" t="s">
        <v>12</v>
      </c>
      <c r="H257" s="52" t="s">
        <v>39</v>
      </c>
      <c r="I257" s="52" t="s">
        <v>40</v>
      </c>
      <c r="J257" s="52">
        <v>0</v>
      </c>
      <c r="K257" s="52" t="s">
        <v>160</v>
      </c>
      <c r="L257" s="52" t="s">
        <v>160</v>
      </c>
      <c r="M257" s="52" t="s">
        <v>41</v>
      </c>
      <c r="N257" s="52">
        <v>0</v>
      </c>
      <c r="O257" s="52" t="s">
        <v>160</v>
      </c>
      <c r="P257" s="52" t="s">
        <v>160</v>
      </c>
      <c r="Q257" s="52" t="b">
        <v>0</v>
      </c>
      <c r="R257" s="52">
        <v>69932.437000000005</v>
      </c>
      <c r="S257" s="52" t="b">
        <v>1</v>
      </c>
      <c r="T257" s="52">
        <v>3</v>
      </c>
      <c r="U257" s="52">
        <v>49</v>
      </c>
    </row>
    <row r="258" spans="1:21" x14ac:dyDescent="0.25">
      <c r="A258" s="52">
        <v>55</v>
      </c>
      <c r="B258" s="52" t="s">
        <v>257</v>
      </c>
      <c r="C258" s="52" t="b">
        <v>0</v>
      </c>
      <c r="D258" s="52" t="s">
        <v>258</v>
      </c>
      <c r="E258" s="52" t="s">
        <v>44</v>
      </c>
      <c r="F258" s="52" t="s">
        <v>38</v>
      </c>
      <c r="G258" s="52" t="s">
        <v>14</v>
      </c>
      <c r="H258" s="52" t="s">
        <v>39</v>
      </c>
      <c r="I258" s="52" t="s">
        <v>47</v>
      </c>
      <c r="J258" s="52">
        <v>2.7033434448529619</v>
      </c>
      <c r="K258" s="52" t="s">
        <v>160</v>
      </c>
      <c r="L258" s="52" t="s">
        <v>160</v>
      </c>
      <c r="M258" s="52">
        <v>22.984876481977309</v>
      </c>
      <c r="N258" s="52">
        <v>0.98236732640707036</v>
      </c>
      <c r="O258" s="52">
        <v>22.984876481977309</v>
      </c>
      <c r="P258" s="52" t="s">
        <v>160</v>
      </c>
      <c r="Q258" s="52" t="b">
        <v>0</v>
      </c>
      <c r="R258" s="52">
        <v>47660.913</v>
      </c>
      <c r="S258" s="52" t="b">
        <v>1</v>
      </c>
      <c r="T258" s="52">
        <v>3</v>
      </c>
      <c r="U258" s="52">
        <v>18</v>
      </c>
    </row>
    <row r="259" spans="1:21" x14ac:dyDescent="0.25">
      <c r="A259" s="52">
        <v>55</v>
      </c>
      <c r="B259" s="52" t="s">
        <v>257</v>
      </c>
      <c r="C259" s="52" t="b">
        <v>0</v>
      </c>
      <c r="D259" s="52" t="s">
        <v>258</v>
      </c>
      <c r="E259" s="52" t="s">
        <v>45</v>
      </c>
      <c r="F259" s="52" t="s">
        <v>38</v>
      </c>
      <c r="G259" s="52" t="s">
        <v>10</v>
      </c>
      <c r="H259" s="52" t="s">
        <v>39</v>
      </c>
      <c r="I259" s="52" t="s">
        <v>40</v>
      </c>
      <c r="J259" s="52">
        <v>0</v>
      </c>
      <c r="K259" s="52" t="s">
        <v>160</v>
      </c>
      <c r="L259" s="52" t="s">
        <v>160</v>
      </c>
      <c r="M259" s="52" t="s">
        <v>41</v>
      </c>
      <c r="N259" s="52">
        <v>0</v>
      </c>
      <c r="O259" s="52" t="s">
        <v>160</v>
      </c>
      <c r="P259" s="52" t="s">
        <v>160</v>
      </c>
      <c r="Q259" s="52" t="b">
        <v>0</v>
      </c>
      <c r="R259" s="52">
        <v>161088.065</v>
      </c>
      <c r="S259" s="52" t="b">
        <v>1</v>
      </c>
      <c r="T259" s="52">
        <v>3</v>
      </c>
      <c r="U259" s="52">
        <v>49</v>
      </c>
    </row>
    <row r="260" spans="1:21" x14ac:dyDescent="0.25">
      <c r="A260" s="52">
        <v>56</v>
      </c>
      <c r="B260" s="52" t="s">
        <v>259</v>
      </c>
      <c r="C260" s="52" t="b">
        <v>0</v>
      </c>
      <c r="D260" s="52" t="s">
        <v>260</v>
      </c>
      <c r="E260" s="52" t="s">
        <v>37</v>
      </c>
      <c r="F260" s="52" t="s">
        <v>38</v>
      </c>
      <c r="G260" s="52" t="s">
        <v>11</v>
      </c>
      <c r="H260" s="52" t="s">
        <v>39</v>
      </c>
      <c r="I260" s="52" t="s">
        <v>47</v>
      </c>
      <c r="J260" s="52">
        <v>2.7842538749072516</v>
      </c>
      <c r="K260" s="52" t="s">
        <v>160</v>
      </c>
      <c r="L260" s="52" t="s">
        <v>160</v>
      </c>
      <c r="M260" s="52">
        <v>21.642661323937759</v>
      </c>
      <c r="N260" s="52">
        <v>0.97193811025718491</v>
      </c>
      <c r="O260" s="52">
        <v>21.642661323937759</v>
      </c>
      <c r="P260" s="52" t="s">
        <v>160</v>
      </c>
      <c r="Q260" s="52" t="b">
        <v>0</v>
      </c>
      <c r="R260" s="52">
        <v>74142.899999999994</v>
      </c>
      <c r="S260" s="52" t="b">
        <v>1</v>
      </c>
      <c r="T260" s="52">
        <v>3</v>
      </c>
      <c r="U260" s="52">
        <v>13</v>
      </c>
    </row>
    <row r="261" spans="1:21" x14ac:dyDescent="0.25">
      <c r="A261" s="52">
        <v>56</v>
      </c>
      <c r="B261" s="52" t="s">
        <v>259</v>
      </c>
      <c r="C261" s="52" t="b">
        <v>0</v>
      </c>
      <c r="D261" s="52" t="s">
        <v>260</v>
      </c>
      <c r="E261" s="52" t="s">
        <v>42</v>
      </c>
      <c r="F261" s="52" t="s">
        <v>38</v>
      </c>
      <c r="G261" s="52" t="s">
        <v>13</v>
      </c>
      <c r="H261" s="52" t="s">
        <v>39</v>
      </c>
      <c r="I261" s="52" t="s">
        <v>47</v>
      </c>
      <c r="J261" s="52">
        <v>0</v>
      </c>
      <c r="K261" s="52" t="s">
        <v>160</v>
      </c>
      <c r="L261" s="52" t="s">
        <v>160</v>
      </c>
      <c r="M261" s="52">
        <v>26.175367513259502</v>
      </c>
      <c r="N261" s="52">
        <v>0.94434103530119329</v>
      </c>
      <c r="O261" s="52">
        <v>26.175367513259502</v>
      </c>
      <c r="P261" s="52" t="s">
        <v>160</v>
      </c>
      <c r="Q261" s="52" t="b">
        <v>0</v>
      </c>
      <c r="R261" s="52">
        <v>46910.862999999998</v>
      </c>
      <c r="S261" s="52" t="b">
        <v>1</v>
      </c>
      <c r="T261" s="52">
        <v>3</v>
      </c>
      <c r="U261" s="52">
        <v>19</v>
      </c>
    </row>
    <row r="262" spans="1:21" x14ac:dyDescent="0.25">
      <c r="A262" s="52">
        <v>56</v>
      </c>
      <c r="B262" s="52" t="s">
        <v>259</v>
      </c>
      <c r="C262" s="52" t="b">
        <v>0</v>
      </c>
      <c r="D262" s="52" t="s">
        <v>260</v>
      </c>
      <c r="E262" s="52" t="s">
        <v>43</v>
      </c>
      <c r="F262" s="52" t="s">
        <v>38</v>
      </c>
      <c r="G262" s="52" t="s">
        <v>12</v>
      </c>
      <c r="H262" s="52" t="s">
        <v>39</v>
      </c>
      <c r="I262" s="52" t="s">
        <v>40</v>
      </c>
      <c r="J262" s="52">
        <v>0</v>
      </c>
      <c r="K262" s="52" t="s">
        <v>160</v>
      </c>
      <c r="L262" s="52" t="s">
        <v>160</v>
      </c>
      <c r="M262" s="52" t="s">
        <v>41</v>
      </c>
      <c r="N262" s="52">
        <v>0</v>
      </c>
      <c r="O262" s="52" t="s">
        <v>160</v>
      </c>
      <c r="P262" s="52" t="s">
        <v>160</v>
      </c>
      <c r="Q262" s="52" t="b">
        <v>0</v>
      </c>
      <c r="R262" s="52">
        <v>69932.437000000005</v>
      </c>
      <c r="S262" s="52" t="b">
        <v>1</v>
      </c>
      <c r="T262" s="52">
        <v>3</v>
      </c>
      <c r="U262" s="52">
        <v>49</v>
      </c>
    </row>
    <row r="263" spans="1:21" x14ac:dyDescent="0.25">
      <c r="A263" s="52">
        <v>56</v>
      </c>
      <c r="B263" s="52" t="s">
        <v>259</v>
      </c>
      <c r="C263" s="52" t="b">
        <v>0</v>
      </c>
      <c r="D263" s="52" t="s">
        <v>260</v>
      </c>
      <c r="E263" s="52" t="s">
        <v>44</v>
      </c>
      <c r="F263" s="52" t="s">
        <v>38</v>
      </c>
      <c r="G263" s="52" t="s">
        <v>14</v>
      </c>
      <c r="H263" s="52" t="s">
        <v>39</v>
      </c>
      <c r="I263" s="52" t="s">
        <v>47</v>
      </c>
      <c r="J263" s="52">
        <v>2.6886698333422423</v>
      </c>
      <c r="K263" s="52" t="s">
        <v>160</v>
      </c>
      <c r="L263" s="52" t="s">
        <v>160</v>
      </c>
      <c r="M263" s="52">
        <v>23.266100560168319</v>
      </c>
      <c r="N263" s="52">
        <v>0.89158814677459675</v>
      </c>
      <c r="O263" s="52">
        <v>23.266100560168319</v>
      </c>
      <c r="P263" s="52" t="s">
        <v>160</v>
      </c>
      <c r="Q263" s="52" t="b">
        <v>0</v>
      </c>
      <c r="R263" s="52">
        <v>47660.913</v>
      </c>
      <c r="S263" s="52" t="b">
        <v>1</v>
      </c>
      <c r="T263" s="52">
        <v>3</v>
      </c>
      <c r="U263" s="52">
        <v>14</v>
      </c>
    </row>
    <row r="264" spans="1:21" x14ac:dyDescent="0.25">
      <c r="A264" s="52">
        <v>56</v>
      </c>
      <c r="B264" s="52" t="s">
        <v>259</v>
      </c>
      <c r="C264" s="52" t="b">
        <v>0</v>
      </c>
      <c r="D264" s="52" t="s">
        <v>260</v>
      </c>
      <c r="E264" s="52" t="s">
        <v>45</v>
      </c>
      <c r="F264" s="52" t="s">
        <v>38</v>
      </c>
      <c r="G264" s="52" t="s">
        <v>10</v>
      </c>
      <c r="H264" s="52" t="s">
        <v>39</v>
      </c>
      <c r="I264" s="52" t="s">
        <v>40</v>
      </c>
      <c r="J264" s="52">
        <v>2.2224671720956808</v>
      </c>
      <c r="K264" s="52" t="s">
        <v>160</v>
      </c>
      <c r="L264" s="52" t="s">
        <v>160</v>
      </c>
      <c r="M264" s="52" t="s">
        <v>41</v>
      </c>
      <c r="N264" s="52">
        <v>0</v>
      </c>
      <c r="O264" s="52" t="s">
        <v>160</v>
      </c>
      <c r="P264" s="52" t="s">
        <v>160</v>
      </c>
      <c r="Q264" s="52" t="b">
        <v>0</v>
      </c>
      <c r="R264" s="52">
        <v>161088.065</v>
      </c>
      <c r="S264" s="52" t="b">
        <v>1</v>
      </c>
      <c r="T264" s="52">
        <v>3</v>
      </c>
      <c r="U264" s="52">
        <v>25</v>
      </c>
    </row>
    <row r="265" spans="1:21" x14ac:dyDescent="0.25">
      <c r="A265" s="52">
        <v>57</v>
      </c>
      <c r="B265" s="52" t="s">
        <v>261</v>
      </c>
      <c r="C265" s="52" t="b">
        <v>0</v>
      </c>
      <c r="D265" s="52" t="s">
        <v>262</v>
      </c>
      <c r="E265" s="52" t="s">
        <v>37</v>
      </c>
      <c r="F265" s="52" t="s">
        <v>38</v>
      </c>
      <c r="G265" s="52" t="s">
        <v>11</v>
      </c>
      <c r="H265" s="52" t="s">
        <v>39</v>
      </c>
      <c r="I265" s="52" t="s">
        <v>47</v>
      </c>
      <c r="J265" s="52">
        <v>0</v>
      </c>
      <c r="K265" s="52" t="s">
        <v>160</v>
      </c>
      <c r="L265" s="52" t="s">
        <v>160</v>
      </c>
      <c r="M265" s="52">
        <v>23.287059360529327</v>
      </c>
      <c r="N265" s="52">
        <v>0.9715075944698246</v>
      </c>
      <c r="O265" s="52">
        <v>23.287059360529327</v>
      </c>
      <c r="P265" s="52" t="s">
        <v>160</v>
      </c>
      <c r="Q265" s="52" t="b">
        <v>0</v>
      </c>
      <c r="R265" s="52">
        <v>74142.899999999994</v>
      </c>
      <c r="S265" s="52" t="b">
        <v>1</v>
      </c>
      <c r="T265" s="52">
        <v>3</v>
      </c>
      <c r="U265" s="52">
        <v>15</v>
      </c>
    </row>
    <row r="266" spans="1:21" x14ac:dyDescent="0.25">
      <c r="A266" s="52">
        <v>57</v>
      </c>
      <c r="B266" s="52" t="s">
        <v>261</v>
      </c>
      <c r="C266" s="52" t="b">
        <v>0</v>
      </c>
      <c r="D266" s="52" t="s">
        <v>262</v>
      </c>
      <c r="E266" s="52" t="s">
        <v>42</v>
      </c>
      <c r="F266" s="52" t="s">
        <v>38</v>
      </c>
      <c r="G266" s="52" t="s">
        <v>13</v>
      </c>
      <c r="H266" s="52" t="s">
        <v>39</v>
      </c>
      <c r="I266" s="52" t="s">
        <v>47</v>
      </c>
      <c r="J266" s="52">
        <v>0</v>
      </c>
      <c r="K266" s="52" t="s">
        <v>160</v>
      </c>
      <c r="L266" s="52" t="s">
        <v>160</v>
      </c>
      <c r="M266" s="52">
        <v>27.223302155766824</v>
      </c>
      <c r="N266" s="52">
        <v>0.93246038514807561</v>
      </c>
      <c r="O266" s="52">
        <v>27.223302155766824</v>
      </c>
      <c r="P266" s="52" t="s">
        <v>160</v>
      </c>
      <c r="Q266" s="52" t="b">
        <v>0</v>
      </c>
      <c r="R266" s="52">
        <v>46910.862999999998</v>
      </c>
      <c r="S266" s="52" t="b">
        <v>1</v>
      </c>
      <c r="T266" s="52">
        <v>3</v>
      </c>
      <c r="U266" s="52">
        <v>21</v>
      </c>
    </row>
    <row r="267" spans="1:21" x14ac:dyDescent="0.25">
      <c r="A267" s="52">
        <v>57</v>
      </c>
      <c r="B267" s="52" t="s">
        <v>261</v>
      </c>
      <c r="C267" s="52" t="b">
        <v>0</v>
      </c>
      <c r="D267" s="52" t="s">
        <v>262</v>
      </c>
      <c r="E267" s="52" t="s">
        <v>43</v>
      </c>
      <c r="F267" s="52" t="s">
        <v>38</v>
      </c>
      <c r="G267" s="52" t="s">
        <v>12</v>
      </c>
      <c r="H267" s="52" t="s">
        <v>39</v>
      </c>
      <c r="I267" s="52" t="s">
        <v>40</v>
      </c>
      <c r="J267" s="52">
        <v>0</v>
      </c>
      <c r="K267" s="52" t="s">
        <v>160</v>
      </c>
      <c r="L267" s="52" t="s">
        <v>160</v>
      </c>
      <c r="M267" s="52" t="s">
        <v>41</v>
      </c>
      <c r="N267" s="52">
        <v>0</v>
      </c>
      <c r="O267" s="52" t="s">
        <v>160</v>
      </c>
      <c r="P267" s="52" t="s">
        <v>160</v>
      </c>
      <c r="Q267" s="52" t="b">
        <v>0</v>
      </c>
      <c r="R267" s="52">
        <v>69932.437000000005</v>
      </c>
      <c r="S267" s="52" t="b">
        <v>1</v>
      </c>
      <c r="T267" s="52">
        <v>3</v>
      </c>
      <c r="U267" s="52">
        <v>49</v>
      </c>
    </row>
    <row r="268" spans="1:21" x14ac:dyDescent="0.25">
      <c r="A268" s="52">
        <v>57</v>
      </c>
      <c r="B268" s="52" t="s">
        <v>261</v>
      </c>
      <c r="C268" s="52" t="b">
        <v>0</v>
      </c>
      <c r="D268" s="52" t="s">
        <v>262</v>
      </c>
      <c r="E268" s="52" t="s">
        <v>44</v>
      </c>
      <c r="F268" s="52" t="s">
        <v>38</v>
      </c>
      <c r="G268" s="52" t="s">
        <v>14</v>
      </c>
      <c r="H268" s="52" t="s">
        <v>39</v>
      </c>
      <c r="I268" s="52" t="s">
        <v>47</v>
      </c>
      <c r="J268" s="52">
        <v>2.6839872681318879</v>
      </c>
      <c r="K268" s="52" t="s">
        <v>160</v>
      </c>
      <c r="L268" s="52" t="s">
        <v>160</v>
      </c>
      <c r="M268" s="52">
        <v>24.099491143781158</v>
      </c>
      <c r="N268" s="52">
        <v>0.88288510872606363</v>
      </c>
      <c r="O268" s="52">
        <v>24.099491143781158</v>
      </c>
      <c r="P268" s="52" t="s">
        <v>160</v>
      </c>
      <c r="Q268" s="52" t="b">
        <v>0</v>
      </c>
      <c r="R268" s="52">
        <v>47660.913</v>
      </c>
      <c r="S268" s="52" t="b">
        <v>1</v>
      </c>
      <c r="T268" s="52">
        <v>3</v>
      </c>
      <c r="U268" s="52">
        <v>17</v>
      </c>
    </row>
    <row r="269" spans="1:21" x14ac:dyDescent="0.25">
      <c r="A269" s="52">
        <v>57</v>
      </c>
      <c r="B269" s="52" t="s">
        <v>261</v>
      </c>
      <c r="C269" s="52" t="b">
        <v>0</v>
      </c>
      <c r="D269" s="52" t="s">
        <v>262</v>
      </c>
      <c r="E269" s="52" t="s">
        <v>45</v>
      </c>
      <c r="F269" s="52" t="s">
        <v>38</v>
      </c>
      <c r="G269" s="52" t="s">
        <v>10</v>
      </c>
      <c r="H269" s="52" t="s">
        <v>39</v>
      </c>
      <c r="I269" s="52" t="s">
        <v>40</v>
      </c>
      <c r="J269" s="52">
        <v>0</v>
      </c>
      <c r="K269" s="52" t="s">
        <v>160</v>
      </c>
      <c r="L269" s="52" t="s">
        <v>160</v>
      </c>
      <c r="M269" s="52" t="s">
        <v>41</v>
      </c>
      <c r="N269" s="52">
        <v>0</v>
      </c>
      <c r="O269" s="52" t="s">
        <v>160</v>
      </c>
      <c r="P269" s="52" t="s">
        <v>160</v>
      </c>
      <c r="Q269" s="52" t="b">
        <v>0</v>
      </c>
      <c r="R269" s="52">
        <v>161088.065</v>
      </c>
      <c r="S269" s="52" t="b">
        <v>1</v>
      </c>
      <c r="T269" s="52">
        <v>3</v>
      </c>
      <c r="U269" s="52">
        <v>23</v>
      </c>
    </row>
    <row r="270" spans="1:21" x14ac:dyDescent="0.25">
      <c r="A270" s="52">
        <v>58</v>
      </c>
      <c r="B270" s="52" t="s">
        <v>263</v>
      </c>
      <c r="C270" s="52" t="b">
        <v>0</v>
      </c>
      <c r="D270" s="52" t="s">
        <v>264</v>
      </c>
      <c r="E270" s="52" t="s">
        <v>37</v>
      </c>
      <c r="F270" s="52" t="s">
        <v>38</v>
      </c>
      <c r="G270" s="52" t="s">
        <v>11</v>
      </c>
      <c r="H270" s="52" t="s">
        <v>39</v>
      </c>
      <c r="I270" s="52" t="s">
        <v>47</v>
      </c>
      <c r="J270" s="52">
        <v>2.7926133698423241</v>
      </c>
      <c r="K270" s="52" t="s">
        <v>160</v>
      </c>
      <c r="L270" s="52" t="s">
        <v>160</v>
      </c>
      <c r="M270" s="52">
        <v>20.749171182998552</v>
      </c>
      <c r="N270" s="52">
        <v>0.96778349904689154</v>
      </c>
      <c r="O270" s="52">
        <v>20.749171182998552</v>
      </c>
      <c r="P270" s="52" t="s">
        <v>160</v>
      </c>
      <c r="Q270" s="52" t="b">
        <v>0</v>
      </c>
      <c r="R270" s="52">
        <v>74142.899999999994</v>
      </c>
      <c r="S270" s="52" t="b">
        <v>1</v>
      </c>
      <c r="T270" s="52">
        <v>3</v>
      </c>
      <c r="U270" s="52">
        <v>13</v>
      </c>
    </row>
    <row r="271" spans="1:21" x14ac:dyDescent="0.25">
      <c r="A271" s="52">
        <v>58</v>
      </c>
      <c r="B271" s="52" t="s">
        <v>263</v>
      </c>
      <c r="C271" s="52" t="b">
        <v>0</v>
      </c>
      <c r="D271" s="52" t="s">
        <v>264</v>
      </c>
      <c r="E271" s="52" t="s">
        <v>42</v>
      </c>
      <c r="F271" s="52" t="s">
        <v>38</v>
      </c>
      <c r="G271" s="52" t="s">
        <v>13</v>
      </c>
      <c r="H271" s="52" t="s">
        <v>39</v>
      </c>
      <c r="I271" s="52" t="s">
        <v>47</v>
      </c>
      <c r="J271" s="52">
        <v>0</v>
      </c>
      <c r="K271" s="52" t="s">
        <v>160</v>
      </c>
      <c r="L271" s="52" t="s">
        <v>160</v>
      </c>
      <c r="M271" s="52">
        <v>25.429100925205532</v>
      </c>
      <c r="N271" s="52">
        <v>0.90532721897075286</v>
      </c>
      <c r="O271" s="52">
        <v>25.429100925205532</v>
      </c>
      <c r="P271" s="52" t="s">
        <v>160</v>
      </c>
      <c r="Q271" s="52" t="b">
        <v>0</v>
      </c>
      <c r="R271" s="52">
        <v>46910.862999999998</v>
      </c>
      <c r="S271" s="52" t="b">
        <v>1</v>
      </c>
      <c r="T271" s="52">
        <v>3</v>
      </c>
      <c r="U271" s="52">
        <v>19</v>
      </c>
    </row>
    <row r="272" spans="1:21" x14ac:dyDescent="0.25">
      <c r="A272" s="52">
        <v>58</v>
      </c>
      <c r="B272" s="52" t="s">
        <v>263</v>
      </c>
      <c r="C272" s="52" t="b">
        <v>0</v>
      </c>
      <c r="D272" s="52" t="s">
        <v>264</v>
      </c>
      <c r="E272" s="52" t="s">
        <v>43</v>
      </c>
      <c r="F272" s="52" t="s">
        <v>38</v>
      </c>
      <c r="G272" s="52" t="s">
        <v>12</v>
      </c>
      <c r="H272" s="52" t="s">
        <v>39</v>
      </c>
      <c r="I272" s="52" t="s">
        <v>40</v>
      </c>
      <c r="J272" s="52">
        <v>0</v>
      </c>
      <c r="K272" s="52" t="s">
        <v>160</v>
      </c>
      <c r="L272" s="52" t="s">
        <v>160</v>
      </c>
      <c r="M272" s="52" t="s">
        <v>41</v>
      </c>
      <c r="N272" s="52">
        <v>0</v>
      </c>
      <c r="O272" s="52" t="s">
        <v>160</v>
      </c>
      <c r="P272" s="52" t="s">
        <v>160</v>
      </c>
      <c r="Q272" s="52" t="b">
        <v>0</v>
      </c>
      <c r="R272" s="52">
        <v>69932.437000000005</v>
      </c>
      <c r="S272" s="52" t="b">
        <v>1</v>
      </c>
      <c r="T272" s="52">
        <v>3</v>
      </c>
      <c r="U272" s="52">
        <v>49</v>
      </c>
    </row>
    <row r="273" spans="1:21" x14ac:dyDescent="0.25">
      <c r="A273" s="52">
        <v>58</v>
      </c>
      <c r="B273" s="52" t="s">
        <v>263</v>
      </c>
      <c r="C273" s="52" t="b">
        <v>0</v>
      </c>
      <c r="D273" s="52" t="s">
        <v>264</v>
      </c>
      <c r="E273" s="52" t="s">
        <v>44</v>
      </c>
      <c r="F273" s="52" t="s">
        <v>38</v>
      </c>
      <c r="G273" s="52" t="s">
        <v>14</v>
      </c>
      <c r="H273" s="52" t="s">
        <v>39</v>
      </c>
      <c r="I273" s="52" t="s">
        <v>47</v>
      </c>
      <c r="J273" s="52">
        <v>2.6626835786960572</v>
      </c>
      <c r="K273" s="52" t="s">
        <v>160</v>
      </c>
      <c r="L273" s="52" t="s">
        <v>160</v>
      </c>
      <c r="M273" s="52">
        <v>23.032976354922184</v>
      </c>
      <c r="N273" s="52">
        <v>0.90116972745465318</v>
      </c>
      <c r="O273" s="52">
        <v>23.032976354922184</v>
      </c>
      <c r="P273" s="52" t="s">
        <v>160</v>
      </c>
      <c r="Q273" s="52" t="b">
        <v>0</v>
      </c>
      <c r="R273" s="52">
        <v>47660.913</v>
      </c>
      <c r="S273" s="52" t="b">
        <v>1</v>
      </c>
      <c r="T273" s="52">
        <v>3</v>
      </c>
      <c r="U273" s="52">
        <v>16</v>
      </c>
    </row>
    <row r="274" spans="1:21" x14ac:dyDescent="0.25">
      <c r="A274" s="52">
        <v>58</v>
      </c>
      <c r="B274" s="52" t="s">
        <v>263</v>
      </c>
      <c r="C274" s="52" t="b">
        <v>0</v>
      </c>
      <c r="D274" s="52" t="s">
        <v>264</v>
      </c>
      <c r="E274" s="52" t="s">
        <v>45</v>
      </c>
      <c r="F274" s="52" t="s">
        <v>38</v>
      </c>
      <c r="G274" s="52" t="s">
        <v>10</v>
      </c>
      <c r="H274" s="52" t="s">
        <v>39</v>
      </c>
      <c r="I274" s="52" t="s">
        <v>40</v>
      </c>
      <c r="J274" s="52">
        <v>0</v>
      </c>
      <c r="K274" s="52" t="s">
        <v>160</v>
      </c>
      <c r="L274" s="52" t="s">
        <v>160</v>
      </c>
      <c r="M274" s="52" t="s">
        <v>41</v>
      </c>
      <c r="N274" s="52">
        <v>0</v>
      </c>
      <c r="O274" s="52" t="s">
        <v>160</v>
      </c>
      <c r="P274" s="52" t="s">
        <v>160</v>
      </c>
      <c r="Q274" s="52" t="b">
        <v>0</v>
      </c>
      <c r="R274" s="52">
        <v>161088.065</v>
      </c>
      <c r="S274" s="52" t="b">
        <v>1</v>
      </c>
      <c r="T274" s="52">
        <v>3</v>
      </c>
      <c r="U274" s="52">
        <v>49</v>
      </c>
    </row>
    <row r="275" spans="1:21" x14ac:dyDescent="0.25">
      <c r="A275" s="52">
        <v>61</v>
      </c>
      <c r="B275" s="52" t="s">
        <v>62</v>
      </c>
      <c r="C275" s="52" t="b">
        <v>0</v>
      </c>
      <c r="D275" s="52" t="s">
        <v>175</v>
      </c>
      <c r="E275" s="52" t="s">
        <v>37</v>
      </c>
      <c r="F275" s="52" t="s">
        <v>38</v>
      </c>
      <c r="G275" s="52" t="s">
        <v>11</v>
      </c>
      <c r="H275" s="52" t="s">
        <v>39</v>
      </c>
      <c r="I275" s="52" t="s">
        <v>47</v>
      </c>
      <c r="J275" s="52">
        <v>0</v>
      </c>
      <c r="K275" s="52" t="s">
        <v>160</v>
      </c>
      <c r="L275" s="52" t="s">
        <v>160</v>
      </c>
      <c r="M275" s="52">
        <v>25.104909560017177</v>
      </c>
      <c r="N275" s="52">
        <v>0.97469832120924349</v>
      </c>
      <c r="O275" s="52">
        <v>25.104909560017177</v>
      </c>
      <c r="P275" s="52" t="s">
        <v>160</v>
      </c>
      <c r="Q275" s="52" t="b">
        <v>0</v>
      </c>
      <c r="R275" s="52">
        <v>74142.899999999994</v>
      </c>
      <c r="S275" s="52" t="b">
        <v>1</v>
      </c>
      <c r="T275" s="52">
        <v>3</v>
      </c>
      <c r="U275" s="52">
        <v>18</v>
      </c>
    </row>
    <row r="276" spans="1:21" x14ac:dyDescent="0.25">
      <c r="A276" s="52">
        <v>61</v>
      </c>
      <c r="B276" s="52" t="s">
        <v>62</v>
      </c>
      <c r="C276" s="52" t="b">
        <v>0</v>
      </c>
      <c r="D276" s="52" t="s">
        <v>175</v>
      </c>
      <c r="E276" s="52" t="s">
        <v>42</v>
      </c>
      <c r="F276" s="52" t="s">
        <v>38</v>
      </c>
      <c r="G276" s="52" t="s">
        <v>13</v>
      </c>
      <c r="H276" s="52" t="s">
        <v>39</v>
      </c>
      <c r="I276" s="52" t="s">
        <v>47</v>
      </c>
      <c r="J276" s="52">
        <v>0</v>
      </c>
      <c r="K276" s="52" t="s">
        <v>160</v>
      </c>
      <c r="L276" s="52" t="s">
        <v>160</v>
      </c>
      <c r="M276" s="52">
        <v>27.672430118186071</v>
      </c>
      <c r="N276" s="52">
        <v>0.94326070773167248</v>
      </c>
      <c r="O276" s="52">
        <v>27.672430118186071</v>
      </c>
      <c r="P276" s="52" t="s">
        <v>160</v>
      </c>
      <c r="Q276" s="52" t="b">
        <v>0</v>
      </c>
      <c r="R276" s="52">
        <v>46910.862999999998</v>
      </c>
      <c r="S276" s="52" t="b">
        <v>1</v>
      </c>
      <c r="T276" s="52">
        <v>3</v>
      </c>
      <c r="U276" s="52">
        <v>20</v>
      </c>
    </row>
    <row r="277" spans="1:21" x14ac:dyDescent="0.25">
      <c r="A277" s="52">
        <v>61</v>
      </c>
      <c r="B277" s="52" t="s">
        <v>62</v>
      </c>
      <c r="C277" s="52" t="b">
        <v>0</v>
      </c>
      <c r="D277" s="52" t="s">
        <v>175</v>
      </c>
      <c r="E277" s="52" t="s">
        <v>43</v>
      </c>
      <c r="F277" s="52" t="s">
        <v>38</v>
      </c>
      <c r="G277" s="52" t="s">
        <v>12</v>
      </c>
      <c r="H277" s="52" t="s">
        <v>39</v>
      </c>
      <c r="I277" s="52" t="s">
        <v>40</v>
      </c>
      <c r="J277" s="52">
        <v>0</v>
      </c>
      <c r="K277" s="52" t="s">
        <v>160</v>
      </c>
      <c r="L277" s="52" t="s">
        <v>160</v>
      </c>
      <c r="M277" s="52" t="s">
        <v>41</v>
      </c>
      <c r="N277" s="52">
        <v>0</v>
      </c>
      <c r="O277" s="52" t="s">
        <v>160</v>
      </c>
      <c r="P277" s="52" t="s">
        <v>160</v>
      </c>
      <c r="Q277" s="52" t="b">
        <v>0</v>
      </c>
      <c r="R277" s="52">
        <v>69932.437000000005</v>
      </c>
      <c r="S277" s="52" t="b">
        <v>1</v>
      </c>
      <c r="T277" s="52">
        <v>3</v>
      </c>
      <c r="U277" s="52">
        <v>49</v>
      </c>
    </row>
    <row r="278" spans="1:21" x14ac:dyDescent="0.25">
      <c r="A278" s="52">
        <v>61</v>
      </c>
      <c r="B278" s="52" t="s">
        <v>62</v>
      </c>
      <c r="C278" s="52" t="b">
        <v>0</v>
      </c>
      <c r="D278" s="52" t="s">
        <v>175</v>
      </c>
      <c r="E278" s="52" t="s">
        <v>44</v>
      </c>
      <c r="F278" s="52" t="s">
        <v>38</v>
      </c>
      <c r="G278" s="52" t="s">
        <v>14</v>
      </c>
      <c r="H278" s="52" t="s">
        <v>39</v>
      </c>
      <c r="I278" s="52" t="s">
        <v>47</v>
      </c>
      <c r="J278" s="52">
        <v>2.5740287343284627</v>
      </c>
      <c r="K278" s="52" t="s">
        <v>160</v>
      </c>
      <c r="L278" s="52" t="s">
        <v>160</v>
      </c>
      <c r="M278" s="52">
        <v>24.534076542537402</v>
      </c>
      <c r="N278" s="52">
        <v>0.89240148836410105</v>
      </c>
      <c r="O278" s="52">
        <v>24.534076542537402</v>
      </c>
      <c r="P278" s="52" t="s">
        <v>160</v>
      </c>
      <c r="Q278" s="52" t="b">
        <v>0</v>
      </c>
      <c r="R278" s="52">
        <v>47660.913</v>
      </c>
      <c r="S278" s="52" t="b">
        <v>1</v>
      </c>
      <c r="T278" s="52">
        <v>3</v>
      </c>
      <c r="U278" s="52">
        <v>17</v>
      </c>
    </row>
    <row r="279" spans="1:21" x14ac:dyDescent="0.25">
      <c r="A279" s="52">
        <v>61</v>
      </c>
      <c r="B279" s="52" t="s">
        <v>62</v>
      </c>
      <c r="C279" s="52" t="b">
        <v>0</v>
      </c>
      <c r="D279" s="52" t="s">
        <v>175</v>
      </c>
      <c r="E279" s="52" t="s">
        <v>45</v>
      </c>
      <c r="F279" s="52" t="s">
        <v>38</v>
      </c>
      <c r="G279" s="52" t="s">
        <v>10</v>
      </c>
      <c r="H279" s="52" t="s">
        <v>39</v>
      </c>
      <c r="I279" s="52" t="s">
        <v>139</v>
      </c>
      <c r="J279" s="52">
        <v>2.1541781432450158</v>
      </c>
      <c r="K279" s="52" t="s">
        <v>160</v>
      </c>
      <c r="L279" s="52" t="s">
        <v>160</v>
      </c>
      <c r="M279" s="52" t="s">
        <v>41</v>
      </c>
      <c r="N279" s="52">
        <v>0</v>
      </c>
      <c r="O279" s="52" t="s">
        <v>160</v>
      </c>
      <c r="P279" s="52" t="s">
        <v>160</v>
      </c>
      <c r="Q279" s="52" t="b">
        <v>0</v>
      </c>
      <c r="R279" s="52">
        <v>161088.065</v>
      </c>
      <c r="S279" s="52" t="b">
        <v>1</v>
      </c>
      <c r="T279" s="52">
        <v>3</v>
      </c>
      <c r="U279" s="52">
        <v>49</v>
      </c>
    </row>
    <row r="280" spans="1:21" x14ac:dyDescent="0.25">
      <c r="A280" s="52">
        <v>62</v>
      </c>
      <c r="B280" s="52" t="s">
        <v>72</v>
      </c>
      <c r="C280" s="52" t="b">
        <v>0</v>
      </c>
      <c r="D280" s="52" t="s">
        <v>176</v>
      </c>
      <c r="E280" s="52" t="s">
        <v>37</v>
      </c>
      <c r="F280" s="52" t="s">
        <v>38</v>
      </c>
      <c r="G280" s="52" t="s">
        <v>11</v>
      </c>
      <c r="H280" s="52" t="s">
        <v>39</v>
      </c>
      <c r="I280" s="52" t="s">
        <v>47</v>
      </c>
      <c r="J280" s="52">
        <v>0</v>
      </c>
      <c r="K280" s="52" t="s">
        <v>160</v>
      </c>
      <c r="L280" s="52" t="s">
        <v>160</v>
      </c>
      <c r="M280" s="52">
        <v>26.807122131572569</v>
      </c>
      <c r="N280" s="52">
        <v>0.97883113323943149</v>
      </c>
      <c r="O280" s="52">
        <v>26.807122131572569</v>
      </c>
      <c r="P280" s="52" t="s">
        <v>160</v>
      </c>
      <c r="Q280" s="52" t="b">
        <v>0</v>
      </c>
      <c r="R280" s="52">
        <v>74142.899999999994</v>
      </c>
      <c r="S280" s="52" t="b">
        <v>1</v>
      </c>
      <c r="T280" s="52">
        <v>3</v>
      </c>
      <c r="U280" s="52">
        <v>19</v>
      </c>
    </row>
    <row r="281" spans="1:21" x14ac:dyDescent="0.25">
      <c r="A281" s="52">
        <v>62</v>
      </c>
      <c r="B281" s="52" t="s">
        <v>72</v>
      </c>
      <c r="C281" s="52" t="b">
        <v>0</v>
      </c>
      <c r="D281" s="52" t="s">
        <v>176</v>
      </c>
      <c r="E281" s="52" t="s">
        <v>42</v>
      </c>
      <c r="F281" s="52" t="s">
        <v>38</v>
      </c>
      <c r="G281" s="52" t="s">
        <v>13</v>
      </c>
      <c r="H281" s="52" t="s">
        <v>39</v>
      </c>
      <c r="I281" s="52" t="s">
        <v>47</v>
      </c>
      <c r="J281" s="52">
        <v>0</v>
      </c>
      <c r="K281" s="52" t="s">
        <v>160</v>
      </c>
      <c r="L281" s="52" t="s">
        <v>160</v>
      </c>
      <c r="M281" s="52">
        <v>28.971423994057204</v>
      </c>
      <c r="N281" s="52">
        <v>0.96241842905870267</v>
      </c>
      <c r="O281" s="52">
        <v>28.971423994057204</v>
      </c>
      <c r="P281" s="52" t="s">
        <v>160</v>
      </c>
      <c r="Q281" s="52" t="b">
        <v>0</v>
      </c>
      <c r="R281" s="52">
        <v>46910.862999999998</v>
      </c>
      <c r="S281" s="52" t="b">
        <v>1</v>
      </c>
      <c r="T281" s="52">
        <v>3</v>
      </c>
      <c r="U281" s="52">
        <v>23</v>
      </c>
    </row>
    <row r="282" spans="1:21" x14ac:dyDescent="0.25">
      <c r="A282" s="52">
        <v>62</v>
      </c>
      <c r="B282" s="52" t="s">
        <v>72</v>
      </c>
      <c r="C282" s="52" t="b">
        <v>0</v>
      </c>
      <c r="D282" s="52" t="s">
        <v>176</v>
      </c>
      <c r="E282" s="52" t="s">
        <v>43</v>
      </c>
      <c r="F282" s="52" t="s">
        <v>38</v>
      </c>
      <c r="G282" s="52" t="s">
        <v>12</v>
      </c>
      <c r="H282" s="52" t="s">
        <v>39</v>
      </c>
      <c r="I282" s="52" t="s">
        <v>139</v>
      </c>
      <c r="J282" s="52">
        <v>0</v>
      </c>
      <c r="K282" s="52" t="s">
        <v>160</v>
      </c>
      <c r="L282" s="52" t="s">
        <v>160</v>
      </c>
      <c r="M282" s="52" t="s">
        <v>41</v>
      </c>
      <c r="N282" s="52">
        <v>0</v>
      </c>
      <c r="O282" s="52" t="s">
        <v>160</v>
      </c>
      <c r="P282" s="52" t="s">
        <v>160</v>
      </c>
      <c r="Q282" s="52" t="b">
        <v>0</v>
      </c>
      <c r="R282" s="52">
        <v>69932.437000000005</v>
      </c>
      <c r="S282" s="52" t="b">
        <v>1</v>
      </c>
      <c r="T282" s="52">
        <v>3</v>
      </c>
      <c r="U282" s="52">
        <v>49</v>
      </c>
    </row>
    <row r="283" spans="1:21" x14ac:dyDescent="0.25">
      <c r="A283" s="52">
        <v>62</v>
      </c>
      <c r="B283" s="52" t="s">
        <v>72</v>
      </c>
      <c r="C283" s="52" t="b">
        <v>0</v>
      </c>
      <c r="D283" s="52" t="s">
        <v>176</v>
      </c>
      <c r="E283" s="52" t="s">
        <v>44</v>
      </c>
      <c r="F283" s="52" t="s">
        <v>38</v>
      </c>
      <c r="G283" s="52" t="s">
        <v>14</v>
      </c>
      <c r="H283" s="52" t="s">
        <v>39</v>
      </c>
      <c r="I283" s="52" t="s">
        <v>47</v>
      </c>
      <c r="J283" s="52">
        <v>2.5836039120384062</v>
      </c>
      <c r="K283" s="52" t="s">
        <v>160</v>
      </c>
      <c r="L283" s="52" t="s">
        <v>160</v>
      </c>
      <c r="M283" s="52">
        <v>26.419601828353152</v>
      </c>
      <c r="N283" s="52">
        <v>0.9508438305112068</v>
      </c>
      <c r="O283" s="52">
        <v>26.419601828353152</v>
      </c>
      <c r="P283" s="52" t="s">
        <v>160</v>
      </c>
      <c r="Q283" s="52" t="b">
        <v>0</v>
      </c>
      <c r="R283" s="52">
        <v>47660.913</v>
      </c>
      <c r="S283" s="52" t="b">
        <v>1</v>
      </c>
      <c r="T283" s="52">
        <v>3</v>
      </c>
      <c r="U283" s="52">
        <v>18</v>
      </c>
    </row>
    <row r="284" spans="1:21" x14ac:dyDescent="0.25">
      <c r="A284" s="52">
        <v>62</v>
      </c>
      <c r="B284" s="52" t="s">
        <v>72</v>
      </c>
      <c r="C284" s="52" t="b">
        <v>0</v>
      </c>
      <c r="D284" s="52" t="s">
        <v>176</v>
      </c>
      <c r="E284" s="52" t="s">
        <v>45</v>
      </c>
      <c r="F284" s="52" t="s">
        <v>38</v>
      </c>
      <c r="G284" s="52" t="s">
        <v>10</v>
      </c>
      <c r="H284" s="52" t="s">
        <v>39</v>
      </c>
      <c r="I284" s="52" t="s">
        <v>139</v>
      </c>
      <c r="J284" s="52">
        <v>0</v>
      </c>
      <c r="K284" s="52" t="s">
        <v>160</v>
      </c>
      <c r="L284" s="52" t="s">
        <v>160</v>
      </c>
      <c r="M284" s="52" t="s">
        <v>41</v>
      </c>
      <c r="N284" s="52">
        <v>0</v>
      </c>
      <c r="O284" s="52" t="s">
        <v>160</v>
      </c>
      <c r="P284" s="52" t="s">
        <v>160</v>
      </c>
      <c r="Q284" s="52" t="b">
        <v>0</v>
      </c>
      <c r="R284" s="52">
        <v>161088.065</v>
      </c>
      <c r="S284" s="52" t="b">
        <v>1</v>
      </c>
      <c r="T284" s="52">
        <v>3</v>
      </c>
      <c r="U284" s="52">
        <v>49</v>
      </c>
    </row>
    <row r="285" spans="1:21" x14ac:dyDescent="0.25">
      <c r="A285" s="52">
        <v>63</v>
      </c>
      <c r="B285" s="52" t="s">
        <v>73</v>
      </c>
      <c r="C285" s="52" t="b">
        <v>0</v>
      </c>
      <c r="D285" s="52" t="s">
        <v>177</v>
      </c>
      <c r="E285" s="52" t="s">
        <v>37</v>
      </c>
      <c r="F285" s="52" t="s">
        <v>38</v>
      </c>
      <c r="G285" s="52" t="s">
        <v>11</v>
      </c>
      <c r="H285" s="52" t="s">
        <v>39</v>
      </c>
      <c r="I285" s="52" t="s">
        <v>47</v>
      </c>
      <c r="J285" s="52">
        <v>0</v>
      </c>
      <c r="K285" s="52" t="s">
        <v>160</v>
      </c>
      <c r="L285" s="52" t="s">
        <v>160</v>
      </c>
      <c r="M285" s="52">
        <v>25.070719336223434</v>
      </c>
      <c r="N285" s="52">
        <v>0.95888894778907541</v>
      </c>
      <c r="O285" s="52">
        <v>25.070719336223434</v>
      </c>
      <c r="P285" s="52" t="s">
        <v>160</v>
      </c>
      <c r="Q285" s="52" t="b">
        <v>0</v>
      </c>
      <c r="R285" s="52">
        <v>74142.899999999994</v>
      </c>
      <c r="S285" s="52" t="b">
        <v>1</v>
      </c>
      <c r="T285" s="52">
        <v>3</v>
      </c>
      <c r="U285" s="52">
        <v>17</v>
      </c>
    </row>
    <row r="286" spans="1:21" x14ac:dyDescent="0.25">
      <c r="A286" s="52">
        <v>63</v>
      </c>
      <c r="B286" s="52" t="s">
        <v>73</v>
      </c>
      <c r="C286" s="52" t="b">
        <v>0</v>
      </c>
      <c r="D286" s="52" t="s">
        <v>177</v>
      </c>
      <c r="E286" s="52" t="s">
        <v>42</v>
      </c>
      <c r="F286" s="52" t="s">
        <v>38</v>
      </c>
      <c r="G286" s="52" t="s">
        <v>13</v>
      </c>
      <c r="H286" s="52" t="s">
        <v>39</v>
      </c>
      <c r="I286" s="52" t="s">
        <v>47</v>
      </c>
      <c r="J286" s="52">
        <v>0</v>
      </c>
      <c r="K286" s="52" t="s">
        <v>160</v>
      </c>
      <c r="L286" s="52" t="s">
        <v>160</v>
      </c>
      <c r="M286" s="52">
        <v>27.337992573178411</v>
      </c>
      <c r="N286" s="52">
        <v>0.95271478072113036</v>
      </c>
      <c r="O286" s="52">
        <v>27.337992573178411</v>
      </c>
      <c r="P286" s="52" t="s">
        <v>160</v>
      </c>
      <c r="Q286" s="52" t="b">
        <v>0</v>
      </c>
      <c r="R286" s="52">
        <v>46910.862999999998</v>
      </c>
      <c r="S286" s="52" t="b">
        <v>1</v>
      </c>
      <c r="T286" s="52">
        <v>3</v>
      </c>
      <c r="U286" s="52">
        <v>20</v>
      </c>
    </row>
    <row r="287" spans="1:21" x14ac:dyDescent="0.25">
      <c r="A287" s="52">
        <v>63</v>
      </c>
      <c r="B287" s="52" t="s">
        <v>73</v>
      </c>
      <c r="C287" s="52" t="b">
        <v>0</v>
      </c>
      <c r="D287" s="52" t="s">
        <v>177</v>
      </c>
      <c r="E287" s="52" t="s">
        <v>43</v>
      </c>
      <c r="F287" s="52" t="s">
        <v>38</v>
      </c>
      <c r="G287" s="52" t="s">
        <v>12</v>
      </c>
      <c r="H287" s="52" t="s">
        <v>39</v>
      </c>
      <c r="I287" s="52" t="s">
        <v>139</v>
      </c>
      <c r="J287" s="52">
        <v>0</v>
      </c>
      <c r="K287" s="52" t="s">
        <v>160</v>
      </c>
      <c r="L287" s="52" t="s">
        <v>160</v>
      </c>
      <c r="M287" s="52" t="s">
        <v>41</v>
      </c>
      <c r="N287" s="52">
        <v>0</v>
      </c>
      <c r="O287" s="52" t="s">
        <v>160</v>
      </c>
      <c r="P287" s="52" t="s">
        <v>160</v>
      </c>
      <c r="Q287" s="52" t="b">
        <v>0</v>
      </c>
      <c r="R287" s="52">
        <v>69932.437000000005</v>
      </c>
      <c r="S287" s="52" t="b">
        <v>1</v>
      </c>
      <c r="T287" s="52">
        <v>3</v>
      </c>
      <c r="U287" s="52">
        <v>49</v>
      </c>
    </row>
    <row r="288" spans="1:21" x14ac:dyDescent="0.25">
      <c r="A288" s="52">
        <v>63</v>
      </c>
      <c r="B288" s="52" t="s">
        <v>73</v>
      </c>
      <c r="C288" s="52" t="b">
        <v>0</v>
      </c>
      <c r="D288" s="52" t="s">
        <v>177</v>
      </c>
      <c r="E288" s="52" t="s">
        <v>44</v>
      </c>
      <c r="F288" s="52" t="s">
        <v>38</v>
      </c>
      <c r="G288" s="52" t="s">
        <v>14</v>
      </c>
      <c r="H288" s="52" t="s">
        <v>39</v>
      </c>
      <c r="I288" s="52" t="s">
        <v>47</v>
      </c>
      <c r="J288" s="52">
        <v>2.6260413898639068</v>
      </c>
      <c r="K288" s="52" t="s">
        <v>160</v>
      </c>
      <c r="L288" s="52" t="s">
        <v>160</v>
      </c>
      <c r="M288" s="52">
        <v>24.332655721625294</v>
      </c>
      <c r="N288" s="52">
        <v>0.93421441025724483</v>
      </c>
      <c r="O288" s="52">
        <v>24.332655721625294</v>
      </c>
      <c r="P288" s="52" t="s">
        <v>160</v>
      </c>
      <c r="Q288" s="52" t="b">
        <v>0</v>
      </c>
      <c r="R288" s="52">
        <v>47660.913</v>
      </c>
      <c r="S288" s="52" t="b">
        <v>1</v>
      </c>
      <c r="T288" s="52">
        <v>3</v>
      </c>
      <c r="U288" s="52">
        <v>17</v>
      </c>
    </row>
    <row r="289" spans="1:21" x14ac:dyDescent="0.25">
      <c r="A289" s="52">
        <v>63</v>
      </c>
      <c r="B289" s="52" t="s">
        <v>73</v>
      </c>
      <c r="C289" s="52" t="b">
        <v>0</v>
      </c>
      <c r="D289" s="52" t="s">
        <v>177</v>
      </c>
      <c r="E289" s="52" t="s">
        <v>45</v>
      </c>
      <c r="F289" s="52" t="s">
        <v>38</v>
      </c>
      <c r="G289" s="52" t="s">
        <v>10</v>
      </c>
      <c r="H289" s="52" t="s">
        <v>39</v>
      </c>
      <c r="I289" s="52" t="s">
        <v>139</v>
      </c>
      <c r="J289" s="52">
        <v>0</v>
      </c>
      <c r="K289" s="52" t="s">
        <v>160</v>
      </c>
      <c r="L289" s="52" t="s">
        <v>160</v>
      </c>
      <c r="M289" s="52" t="s">
        <v>41</v>
      </c>
      <c r="N289" s="52">
        <v>0</v>
      </c>
      <c r="O289" s="52" t="s">
        <v>160</v>
      </c>
      <c r="P289" s="52" t="s">
        <v>160</v>
      </c>
      <c r="Q289" s="52" t="b">
        <v>0</v>
      </c>
      <c r="R289" s="52">
        <v>161088.065</v>
      </c>
      <c r="S289" s="52" t="b">
        <v>1</v>
      </c>
      <c r="T289" s="52">
        <v>3</v>
      </c>
      <c r="U289" s="52">
        <v>49</v>
      </c>
    </row>
    <row r="290" spans="1:21" x14ac:dyDescent="0.25">
      <c r="A290" s="52">
        <v>64</v>
      </c>
      <c r="B290" s="52" t="s">
        <v>74</v>
      </c>
      <c r="C290" s="52" t="b">
        <v>0</v>
      </c>
      <c r="D290" s="52" t="s">
        <v>178</v>
      </c>
      <c r="E290" s="52" t="s">
        <v>37</v>
      </c>
      <c r="F290" s="52" t="s">
        <v>38</v>
      </c>
      <c r="G290" s="52" t="s">
        <v>11</v>
      </c>
      <c r="H290" s="52" t="s">
        <v>39</v>
      </c>
      <c r="I290" s="52" t="s">
        <v>47</v>
      </c>
      <c r="J290" s="52">
        <v>0</v>
      </c>
      <c r="K290" s="52" t="s">
        <v>160</v>
      </c>
      <c r="L290" s="52" t="s">
        <v>160</v>
      </c>
      <c r="M290" s="52">
        <v>24.333195880283455</v>
      </c>
      <c r="N290" s="52">
        <v>0.96800851232092944</v>
      </c>
      <c r="O290" s="52">
        <v>24.333195880283455</v>
      </c>
      <c r="P290" s="52" t="s">
        <v>160</v>
      </c>
      <c r="Q290" s="52" t="b">
        <v>0</v>
      </c>
      <c r="R290" s="52">
        <v>74142.899999999994</v>
      </c>
      <c r="S290" s="52" t="b">
        <v>1</v>
      </c>
      <c r="T290" s="52">
        <v>3</v>
      </c>
      <c r="U290" s="52">
        <v>16</v>
      </c>
    </row>
    <row r="291" spans="1:21" x14ac:dyDescent="0.25">
      <c r="A291" s="52">
        <v>64</v>
      </c>
      <c r="B291" s="52" t="s">
        <v>74</v>
      </c>
      <c r="C291" s="52" t="b">
        <v>0</v>
      </c>
      <c r="D291" s="52" t="s">
        <v>178</v>
      </c>
      <c r="E291" s="52" t="s">
        <v>42</v>
      </c>
      <c r="F291" s="52" t="s">
        <v>38</v>
      </c>
      <c r="G291" s="52" t="s">
        <v>13</v>
      </c>
      <c r="H291" s="52" t="s">
        <v>39</v>
      </c>
      <c r="I291" s="52" t="s">
        <v>47</v>
      </c>
      <c r="J291" s="52">
        <v>0</v>
      </c>
      <c r="K291" s="52" t="s">
        <v>160</v>
      </c>
      <c r="L291" s="52" t="s">
        <v>160</v>
      </c>
      <c r="M291" s="52">
        <v>27.205411624189253</v>
      </c>
      <c r="N291" s="52">
        <v>0.9130514462682856</v>
      </c>
      <c r="O291" s="52">
        <v>27.205411624189253</v>
      </c>
      <c r="P291" s="52" t="s">
        <v>160</v>
      </c>
      <c r="Q291" s="52" t="b">
        <v>0</v>
      </c>
      <c r="R291" s="52">
        <v>46910.862999999998</v>
      </c>
      <c r="S291" s="52" t="b">
        <v>1</v>
      </c>
      <c r="T291" s="52">
        <v>3</v>
      </c>
      <c r="U291" s="52">
        <v>20</v>
      </c>
    </row>
    <row r="292" spans="1:21" x14ac:dyDescent="0.25">
      <c r="A292" s="52">
        <v>64</v>
      </c>
      <c r="B292" s="52" t="s">
        <v>74</v>
      </c>
      <c r="C292" s="52" t="b">
        <v>0</v>
      </c>
      <c r="D292" s="52" t="s">
        <v>178</v>
      </c>
      <c r="E292" s="52" t="s">
        <v>43</v>
      </c>
      <c r="F292" s="52" t="s">
        <v>38</v>
      </c>
      <c r="G292" s="52" t="s">
        <v>12</v>
      </c>
      <c r="H292" s="52" t="s">
        <v>39</v>
      </c>
      <c r="I292" s="52" t="s">
        <v>40</v>
      </c>
      <c r="J292" s="52">
        <v>0</v>
      </c>
      <c r="K292" s="52" t="s">
        <v>160</v>
      </c>
      <c r="L292" s="52" t="s">
        <v>160</v>
      </c>
      <c r="M292" s="52" t="s">
        <v>41</v>
      </c>
      <c r="N292" s="52">
        <v>0</v>
      </c>
      <c r="O292" s="52" t="s">
        <v>160</v>
      </c>
      <c r="P292" s="52" t="s">
        <v>160</v>
      </c>
      <c r="Q292" s="52" t="b">
        <v>0</v>
      </c>
      <c r="R292" s="52">
        <v>69932.437000000005</v>
      </c>
      <c r="S292" s="52" t="b">
        <v>1</v>
      </c>
      <c r="T292" s="52">
        <v>3</v>
      </c>
      <c r="U292" s="52">
        <v>49</v>
      </c>
    </row>
    <row r="293" spans="1:21" x14ac:dyDescent="0.25">
      <c r="A293" s="52">
        <v>64</v>
      </c>
      <c r="B293" s="52" t="s">
        <v>74</v>
      </c>
      <c r="C293" s="52" t="b">
        <v>0</v>
      </c>
      <c r="D293" s="52" t="s">
        <v>178</v>
      </c>
      <c r="E293" s="52" t="s">
        <v>44</v>
      </c>
      <c r="F293" s="52" t="s">
        <v>38</v>
      </c>
      <c r="G293" s="52" t="s">
        <v>14</v>
      </c>
      <c r="H293" s="52" t="s">
        <v>39</v>
      </c>
      <c r="I293" s="52" t="s">
        <v>47</v>
      </c>
      <c r="J293" s="52">
        <v>2.649768562048703</v>
      </c>
      <c r="K293" s="52" t="s">
        <v>160</v>
      </c>
      <c r="L293" s="52" t="s">
        <v>160</v>
      </c>
      <c r="M293" s="52">
        <v>24.497170987357535</v>
      </c>
      <c r="N293" s="52">
        <v>0.96010979179634992</v>
      </c>
      <c r="O293" s="52">
        <v>24.497170987357535</v>
      </c>
      <c r="P293" s="52" t="s">
        <v>160</v>
      </c>
      <c r="Q293" s="52" t="b">
        <v>0</v>
      </c>
      <c r="R293" s="52">
        <v>47660.913</v>
      </c>
      <c r="S293" s="52" t="b">
        <v>1</v>
      </c>
      <c r="T293" s="52">
        <v>3</v>
      </c>
      <c r="U293" s="52">
        <v>17</v>
      </c>
    </row>
    <row r="294" spans="1:21" x14ac:dyDescent="0.25">
      <c r="A294" s="52">
        <v>64</v>
      </c>
      <c r="B294" s="52" t="s">
        <v>74</v>
      </c>
      <c r="C294" s="52" t="b">
        <v>0</v>
      </c>
      <c r="D294" s="52" t="s">
        <v>178</v>
      </c>
      <c r="E294" s="52" t="s">
        <v>45</v>
      </c>
      <c r="F294" s="52" t="s">
        <v>38</v>
      </c>
      <c r="G294" s="52" t="s">
        <v>10</v>
      </c>
      <c r="H294" s="52" t="s">
        <v>39</v>
      </c>
      <c r="I294" s="52" t="s">
        <v>139</v>
      </c>
      <c r="J294" s="52">
        <v>0</v>
      </c>
      <c r="K294" s="52" t="s">
        <v>160</v>
      </c>
      <c r="L294" s="52" t="s">
        <v>160</v>
      </c>
      <c r="M294" s="52" t="s">
        <v>41</v>
      </c>
      <c r="N294" s="52">
        <v>0</v>
      </c>
      <c r="O294" s="52" t="s">
        <v>160</v>
      </c>
      <c r="P294" s="52" t="s">
        <v>160</v>
      </c>
      <c r="Q294" s="52" t="b">
        <v>0</v>
      </c>
      <c r="R294" s="52">
        <v>161088.065</v>
      </c>
      <c r="S294" s="52" t="b">
        <v>1</v>
      </c>
      <c r="T294" s="52">
        <v>3</v>
      </c>
      <c r="U294" s="52">
        <v>49</v>
      </c>
    </row>
    <row r="295" spans="1:21" x14ac:dyDescent="0.25">
      <c r="A295" s="52">
        <v>65</v>
      </c>
      <c r="B295" s="52" t="s">
        <v>75</v>
      </c>
      <c r="C295" s="52" t="b">
        <v>0</v>
      </c>
      <c r="D295" s="52" t="s">
        <v>179</v>
      </c>
      <c r="E295" s="52" t="s">
        <v>37</v>
      </c>
      <c r="F295" s="52" t="s">
        <v>38</v>
      </c>
      <c r="G295" s="52" t="s">
        <v>11</v>
      </c>
      <c r="H295" s="52" t="s">
        <v>39</v>
      </c>
      <c r="I295" s="52" t="s">
        <v>47</v>
      </c>
      <c r="J295" s="52">
        <v>0</v>
      </c>
      <c r="K295" s="52" t="s">
        <v>160</v>
      </c>
      <c r="L295" s="52" t="s">
        <v>160</v>
      </c>
      <c r="M295" s="52">
        <v>24.602997670804832</v>
      </c>
      <c r="N295" s="52">
        <v>0.97404956553832178</v>
      </c>
      <c r="O295" s="52">
        <v>24.602997670804832</v>
      </c>
      <c r="P295" s="52" t="s">
        <v>160</v>
      </c>
      <c r="Q295" s="52" t="b">
        <v>0</v>
      </c>
      <c r="R295" s="52">
        <v>74142.899999999994</v>
      </c>
      <c r="S295" s="52" t="b">
        <v>1</v>
      </c>
      <c r="T295" s="52">
        <v>3</v>
      </c>
      <c r="U295" s="52">
        <v>16</v>
      </c>
    </row>
    <row r="296" spans="1:21" x14ac:dyDescent="0.25">
      <c r="A296" s="52">
        <v>65</v>
      </c>
      <c r="B296" s="52" t="s">
        <v>75</v>
      </c>
      <c r="C296" s="52" t="b">
        <v>0</v>
      </c>
      <c r="D296" s="52" t="s">
        <v>179</v>
      </c>
      <c r="E296" s="52" t="s">
        <v>42</v>
      </c>
      <c r="F296" s="52" t="s">
        <v>38</v>
      </c>
      <c r="G296" s="52" t="s">
        <v>13</v>
      </c>
      <c r="H296" s="52" t="s">
        <v>39</v>
      </c>
      <c r="I296" s="52" t="s">
        <v>47</v>
      </c>
      <c r="J296" s="52">
        <v>0</v>
      </c>
      <c r="K296" s="52" t="s">
        <v>160</v>
      </c>
      <c r="L296" s="52" t="s">
        <v>160</v>
      </c>
      <c r="M296" s="52">
        <v>27.453544888259273</v>
      </c>
      <c r="N296" s="52">
        <v>0.92873795737896669</v>
      </c>
      <c r="O296" s="52">
        <v>27.453544888259273</v>
      </c>
      <c r="P296" s="52" t="s">
        <v>160</v>
      </c>
      <c r="Q296" s="52" t="b">
        <v>0</v>
      </c>
      <c r="R296" s="52">
        <v>46910.862999999998</v>
      </c>
      <c r="S296" s="52" t="b">
        <v>1</v>
      </c>
      <c r="T296" s="52">
        <v>3</v>
      </c>
      <c r="U296" s="52">
        <v>22</v>
      </c>
    </row>
    <row r="297" spans="1:21" x14ac:dyDescent="0.25">
      <c r="A297" s="52">
        <v>65</v>
      </c>
      <c r="B297" s="52" t="s">
        <v>75</v>
      </c>
      <c r="C297" s="52" t="b">
        <v>0</v>
      </c>
      <c r="D297" s="52" t="s">
        <v>179</v>
      </c>
      <c r="E297" s="52" t="s">
        <v>43</v>
      </c>
      <c r="F297" s="52" t="s">
        <v>38</v>
      </c>
      <c r="G297" s="52" t="s">
        <v>12</v>
      </c>
      <c r="H297" s="52" t="s">
        <v>39</v>
      </c>
      <c r="I297" s="52" t="s">
        <v>40</v>
      </c>
      <c r="J297" s="52">
        <v>0</v>
      </c>
      <c r="K297" s="52" t="s">
        <v>160</v>
      </c>
      <c r="L297" s="52" t="s">
        <v>160</v>
      </c>
      <c r="M297" s="52" t="s">
        <v>41</v>
      </c>
      <c r="N297" s="52">
        <v>0</v>
      </c>
      <c r="O297" s="52" t="s">
        <v>160</v>
      </c>
      <c r="P297" s="52" t="s">
        <v>160</v>
      </c>
      <c r="Q297" s="52" t="b">
        <v>0</v>
      </c>
      <c r="R297" s="52">
        <v>69932.437000000005</v>
      </c>
      <c r="S297" s="52" t="b">
        <v>1</v>
      </c>
      <c r="T297" s="52">
        <v>3</v>
      </c>
      <c r="U297" s="52">
        <v>49</v>
      </c>
    </row>
    <row r="298" spans="1:21" x14ac:dyDescent="0.25">
      <c r="A298" s="52">
        <v>65</v>
      </c>
      <c r="B298" s="52" t="s">
        <v>75</v>
      </c>
      <c r="C298" s="52" t="b">
        <v>0</v>
      </c>
      <c r="D298" s="52" t="s">
        <v>179</v>
      </c>
      <c r="E298" s="52" t="s">
        <v>44</v>
      </c>
      <c r="F298" s="52" t="s">
        <v>38</v>
      </c>
      <c r="G298" s="52" t="s">
        <v>14</v>
      </c>
      <c r="H298" s="52" t="s">
        <v>39</v>
      </c>
      <c r="I298" s="52" t="s">
        <v>47</v>
      </c>
      <c r="J298" s="52">
        <v>2.674263319923234</v>
      </c>
      <c r="K298" s="52" t="s">
        <v>160</v>
      </c>
      <c r="L298" s="52" t="s">
        <v>160</v>
      </c>
      <c r="M298" s="52">
        <v>24.724586407758785</v>
      </c>
      <c r="N298" s="52">
        <v>0.92103039839403211</v>
      </c>
      <c r="O298" s="52">
        <v>24.724586407758785</v>
      </c>
      <c r="P298" s="52" t="s">
        <v>160</v>
      </c>
      <c r="Q298" s="52" t="b">
        <v>0</v>
      </c>
      <c r="R298" s="52">
        <v>47660.913</v>
      </c>
      <c r="S298" s="52" t="b">
        <v>1</v>
      </c>
      <c r="T298" s="52">
        <v>3</v>
      </c>
      <c r="U298" s="52">
        <v>18</v>
      </c>
    </row>
    <row r="299" spans="1:21" x14ac:dyDescent="0.25">
      <c r="A299" s="52">
        <v>65</v>
      </c>
      <c r="B299" s="52" t="s">
        <v>75</v>
      </c>
      <c r="C299" s="52" t="b">
        <v>0</v>
      </c>
      <c r="D299" s="52" t="s">
        <v>179</v>
      </c>
      <c r="E299" s="52" t="s">
        <v>45</v>
      </c>
      <c r="F299" s="52" t="s">
        <v>38</v>
      </c>
      <c r="G299" s="52" t="s">
        <v>10</v>
      </c>
      <c r="H299" s="52" t="s">
        <v>39</v>
      </c>
      <c r="I299" s="52" t="s">
        <v>40</v>
      </c>
      <c r="J299" s="52">
        <v>0</v>
      </c>
      <c r="K299" s="52" t="s">
        <v>160</v>
      </c>
      <c r="L299" s="52" t="s">
        <v>160</v>
      </c>
      <c r="M299" s="52" t="s">
        <v>41</v>
      </c>
      <c r="N299" s="52">
        <v>0</v>
      </c>
      <c r="O299" s="52" t="s">
        <v>160</v>
      </c>
      <c r="P299" s="52" t="s">
        <v>160</v>
      </c>
      <c r="Q299" s="52" t="b">
        <v>0</v>
      </c>
      <c r="R299" s="52">
        <v>161088.065</v>
      </c>
      <c r="S299" s="52" t="b">
        <v>1</v>
      </c>
      <c r="T299" s="52">
        <v>3</v>
      </c>
      <c r="U299" s="52">
        <v>49</v>
      </c>
    </row>
    <row r="300" spans="1:21" x14ac:dyDescent="0.25">
      <c r="A300" s="52">
        <v>66</v>
      </c>
      <c r="B300" s="52" t="s">
        <v>265</v>
      </c>
      <c r="C300" s="52" t="b">
        <v>0</v>
      </c>
      <c r="D300" s="52" t="s">
        <v>266</v>
      </c>
      <c r="E300" s="52" t="s">
        <v>37</v>
      </c>
      <c r="F300" s="52" t="s">
        <v>38</v>
      </c>
      <c r="G300" s="52" t="s">
        <v>11</v>
      </c>
      <c r="H300" s="52" t="s">
        <v>39</v>
      </c>
      <c r="I300" s="52" t="s">
        <v>40</v>
      </c>
      <c r="J300" s="52">
        <v>0</v>
      </c>
      <c r="K300" s="52" t="s">
        <v>160</v>
      </c>
      <c r="L300" s="52" t="s">
        <v>160</v>
      </c>
      <c r="M300" s="52" t="s">
        <v>41</v>
      </c>
      <c r="N300" s="52">
        <v>0</v>
      </c>
      <c r="O300" s="52" t="s">
        <v>160</v>
      </c>
      <c r="P300" s="52" t="s">
        <v>160</v>
      </c>
      <c r="Q300" s="52" t="b">
        <v>0</v>
      </c>
      <c r="R300" s="52">
        <v>74142.899999999994</v>
      </c>
      <c r="S300" s="52" t="b">
        <v>1</v>
      </c>
      <c r="T300" s="52">
        <v>3</v>
      </c>
      <c r="U300" s="52">
        <v>49</v>
      </c>
    </row>
    <row r="301" spans="1:21" x14ac:dyDescent="0.25">
      <c r="A301" s="52">
        <v>66</v>
      </c>
      <c r="B301" s="52" t="s">
        <v>265</v>
      </c>
      <c r="C301" s="52" t="b">
        <v>0</v>
      </c>
      <c r="D301" s="52" t="s">
        <v>266</v>
      </c>
      <c r="E301" s="52" t="s">
        <v>42</v>
      </c>
      <c r="F301" s="52" t="s">
        <v>38</v>
      </c>
      <c r="G301" s="52" t="s">
        <v>13</v>
      </c>
      <c r="H301" s="52" t="s">
        <v>39</v>
      </c>
      <c r="I301" s="52" t="s">
        <v>40</v>
      </c>
      <c r="J301" s="52">
        <v>0</v>
      </c>
      <c r="K301" s="52" t="s">
        <v>160</v>
      </c>
      <c r="L301" s="52" t="s">
        <v>160</v>
      </c>
      <c r="M301" s="52" t="s">
        <v>41</v>
      </c>
      <c r="N301" s="52">
        <v>0</v>
      </c>
      <c r="O301" s="52" t="s">
        <v>160</v>
      </c>
      <c r="P301" s="52" t="s">
        <v>160</v>
      </c>
      <c r="Q301" s="52" t="b">
        <v>0</v>
      </c>
      <c r="R301" s="52">
        <v>46910.862999999998</v>
      </c>
      <c r="S301" s="52" t="b">
        <v>1</v>
      </c>
      <c r="T301" s="52">
        <v>3</v>
      </c>
      <c r="U301" s="52">
        <v>49</v>
      </c>
    </row>
    <row r="302" spans="1:21" x14ac:dyDescent="0.25">
      <c r="A302" s="52">
        <v>66</v>
      </c>
      <c r="B302" s="52" t="s">
        <v>265</v>
      </c>
      <c r="C302" s="52" t="b">
        <v>0</v>
      </c>
      <c r="D302" s="52" t="s">
        <v>266</v>
      </c>
      <c r="E302" s="52" t="s">
        <v>43</v>
      </c>
      <c r="F302" s="52" t="s">
        <v>38</v>
      </c>
      <c r="G302" s="52" t="s">
        <v>12</v>
      </c>
      <c r="H302" s="52" t="s">
        <v>39</v>
      </c>
      <c r="I302" s="52" t="s">
        <v>139</v>
      </c>
      <c r="J302" s="52">
        <v>0</v>
      </c>
      <c r="K302" s="52" t="s">
        <v>160</v>
      </c>
      <c r="L302" s="52" t="s">
        <v>160</v>
      </c>
      <c r="M302" s="52" t="s">
        <v>41</v>
      </c>
      <c r="N302" s="52">
        <v>0</v>
      </c>
      <c r="O302" s="52" t="s">
        <v>160</v>
      </c>
      <c r="P302" s="52" t="s">
        <v>160</v>
      </c>
      <c r="Q302" s="52" t="b">
        <v>0</v>
      </c>
      <c r="R302" s="52">
        <v>69932.437000000005</v>
      </c>
      <c r="S302" s="52" t="b">
        <v>1</v>
      </c>
      <c r="T302" s="52">
        <v>3</v>
      </c>
      <c r="U302" s="52">
        <v>49</v>
      </c>
    </row>
    <row r="303" spans="1:21" x14ac:dyDescent="0.25">
      <c r="A303" s="52">
        <v>66</v>
      </c>
      <c r="B303" s="52" t="s">
        <v>265</v>
      </c>
      <c r="C303" s="52" t="b">
        <v>0</v>
      </c>
      <c r="D303" s="52" t="s">
        <v>266</v>
      </c>
      <c r="E303" s="52" t="s">
        <v>44</v>
      </c>
      <c r="F303" s="52" t="s">
        <v>38</v>
      </c>
      <c r="G303" s="52" t="s">
        <v>14</v>
      </c>
      <c r="H303" s="52" t="s">
        <v>39</v>
      </c>
      <c r="I303" s="52" t="s">
        <v>47</v>
      </c>
      <c r="J303" s="52">
        <v>2.6792255193175039</v>
      </c>
      <c r="K303" s="52" t="s">
        <v>160</v>
      </c>
      <c r="L303" s="52" t="s">
        <v>160</v>
      </c>
      <c r="M303" s="52">
        <v>24.406296042138131</v>
      </c>
      <c r="N303" s="52">
        <v>0.90735794998715236</v>
      </c>
      <c r="O303" s="52">
        <v>24.406296042138131</v>
      </c>
      <c r="P303" s="52" t="s">
        <v>160</v>
      </c>
      <c r="Q303" s="52" t="b">
        <v>0</v>
      </c>
      <c r="R303" s="52">
        <v>47660.913</v>
      </c>
      <c r="S303" s="52" t="b">
        <v>1</v>
      </c>
      <c r="T303" s="52">
        <v>3</v>
      </c>
      <c r="U303" s="52">
        <v>17</v>
      </c>
    </row>
    <row r="304" spans="1:21" x14ac:dyDescent="0.25">
      <c r="A304" s="52">
        <v>66</v>
      </c>
      <c r="B304" s="52" t="s">
        <v>265</v>
      </c>
      <c r="C304" s="52" t="b">
        <v>0</v>
      </c>
      <c r="D304" s="52" t="s">
        <v>266</v>
      </c>
      <c r="E304" s="52" t="s">
        <v>45</v>
      </c>
      <c r="F304" s="52" t="s">
        <v>38</v>
      </c>
      <c r="G304" s="52" t="s">
        <v>10</v>
      </c>
      <c r="H304" s="52" t="s">
        <v>39</v>
      </c>
      <c r="I304" s="52" t="s">
        <v>139</v>
      </c>
      <c r="J304" s="52">
        <v>2.2669138220063929</v>
      </c>
      <c r="K304" s="52" t="s">
        <v>160</v>
      </c>
      <c r="L304" s="52" t="s">
        <v>160</v>
      </c>
      <c r="M304" s="52" t="s">
        <v>41</v>
      </c>
      <c r="N304" s="52">
        <v>0</v>
      </c>
      <c r="O304" s="52" t="s">
        <v>160</v>
      </c>
      <c r="P304" s="52" t="s">
        <v>160</v>
      </c>
      <c r="Q304" s="52" t="b">
        <v>0</v>
      </c>
      <c r="R304" s="52">
        <v>161088.065</v>
      </c>
      <c r="S304" s="52" t="b">
        <v>1</v>
      </c>
      <c r="T304" s="52">
        <v>3</v>
      </c>
      <c r="U304" s="52">
        <v>49</v>
      </c>
    </row>
    <row r="305" spans="1:21" x14ac:dyDescent="0.25">
      <c r="A305" s="52">
        <v>67</v>
      </c>
      <c r="B305" s="52" t="s">
        <v>267</v>
      </c>
      <c r="C305" s="52" t="b">
        <v>0</v>
      </c>
      <c r="D305" s="52" t="s">
        <v>268</v>
      </c>
      <c r="E305" s="52" t="s">
        <v>37</v>
      </c>
      <c r="F305" s="52" t="s">
        <v>38</v>
      </c>
      <c r="G305" s="52" t="s">
        <v>11</v>
      </c>
      <c r="H305" s="52" t="s">
        <v>39</v>
      </c>
      <c r="I305" s="52" t="s">
        <v>47</v>
      </c>
      <c r="J305" s="52">
        <v>2.7588127623543124</v>
      </c>
      <c r="K305" s="52" t="s">
        <v>160</v>
      </c>
      <c r="L305" s="52" t="s">
        <v>160</v>
      </c>
      <c r="M305" s="52">
        <v>34.285001253823111</v>
      </c>
      <c r="N305" s="52">
        <v>0.89021981115913229</v>
      </c>
      <c r="O305" s="52">
        <v>34.285001253823111</v>
      </c>
      <c r="P305" s="52" t="s">
        <v>160</v>
      </c>
      <c r="Q305" s="52" t="b">
        <v>0</v>
      </c>
      <c r="R305" s="52">
        <v>74142.899999999994</v>
      </c>
      <c r="S305" s="52" t="b">
        <v>1</v>
      </c>
      <c r="T305" s="52">
        <v>3</v>
      </c>
      <c r="U305" s="52">
        <v>27</v>
      </c>
    </row>
    <row r="306" spans="1:21" x14ac:dyDescent="0.25">
      <c r="A306" s="52">
        <v>67</v>
      </c>
      <c r="B306" s="52" t="s">
        <v>267</v>
      </c>
      <c r="C306" s="52" t="b">
        <v>0</v>
      </c>
      <c r="D306" s="52" t="s">
        <v>268</v>
      </c>
      <c r="E306" s="52" t="s">
        <v>42</v>
      </c>
      <c r="F306" s="52" t="s">
        <v>38</v>
      </c>
      <c r="G306" s="52" t="s">
        <v>13</v>
      </c>
      <c r="H306" s="52" t="s">
        <v>39</v>
      </c>
      <c r="I306" s="52" t="s">
        <v>47</v>
      </c>
      <c r="J306" s="52">
        <v>2.6525569334544166</v>
      </c>
      <c r="K306" s="52" t="s">
        <v>160</v>
      </c>
      <c r="L306" s="52" t="s">
        <v>160</v>
      </c>
      <c r="M306" s="52">
        <v>35.414424334315868</v>
      </c>
      <c r="N306" s="52">
        <v>0.6991908611200951</v>
      </c>
      <c r="O306" s="52">
        <v>35.414424334315868</v>
      </c>
      <c r="P306" s="52" t="s">
        <v>160</v>
      </c>
      <c r="Q306" s="52" t="b">
        <v>0</v>
      </c>
      <c r="R306" s="52">
        <v>46910.862999999998</v>
      </c>
      <c r="S306" s="52" t="b">
        <v>1</v>
      </c>
      <c r="T306" s="52">
        <v>3</v>
      </c>
      <c r="U306" s="52">
        <v>29</v>
      </c>
    </row>
    <row r="307" spans="1:21" x14ac:dyDescent="0.25">
      <c r="A307" s="52">
        <v>67</v>
      </c>
      <c r="B307" s="52" t="s">
        <v>267</v>
      </c>
      <c r="C307" s="52" t="b">
        <v>0</v>
      </c>
      <c r="D307" s="52" t="s">
        <v>268</v>
      </c>
      <c r="E307" s="52" t="s">
        <v>43</v>
      </c>
      <c r="F307" s="52" t="s">
        <v>38</v>
      </c>
      <c r="G307" s="52" t="s">
        <v>12</v>
      </c>
      <c r="H307" s="52" t="s">
        <v>39</v>
      </c>
      <c r="I307" s="52" t="s">
        <v>40</v>
      </c>
      <c r="J307" s="52">
        <v>0</v>
      </c>
      <c r="K307" s="52" t="s">
        <v>160</v>
      </c>
      <c r="L307" s="52" t="s">
        <v>160</v>
      </c>
      <c r="M307" s="52" t="s">
        <v>41</v>
      </c>
      <c r="N307" s="52">
        <v>0</v>
      </c>
      <c r="O307" s="52" t="s">
        <v>160</v>
      </c>
      <c r="P307" s="52" t="s">
        <v>160</v>
      </c>
      <c r="Q307" s="52" t="b">
        <v>0</v>
      </c>
      <c r="R307" s="52">
        <v>69932.437000000005</v>
      </c>
      <c r="S307" s="52" t="b">
        <v>1</v>
      </c>
      <c r="T307" s="52">
        <v>3</v>
      </c>
      <c r="U307" s="52">
        <v>49</v>
      </c>
    </row>
    <row r="308" spans="1:21" x14ac:dyDescent="0.25">
      <c r="A308" s="52">
        <v>67</v>
      </c>
      <c r="B308" s="52" t="s">
        <v>267</v>
      </c>
      <c r="C308" s="52" t="b">
        <v>0</v>
      </c>
      <c r="D308" s="52" t="s">
        <v>268</v>
      </c>
      <c r="E308" s="52" t="s">
        <v>44</v>
      </c>
      <c r="F308" s="52" t="s">
        <v>38</v>
      </c>
      <c r="G308" s="52" t="s">
        <v>14</v>
      </c>
      <c r="H308" s="52" t="s">
        <v>39</v>
      </c>
      <c r="I308" s="52" t="s">
        <v>47</v>
      </c>
      <c r="J308" s="52">
        <v>2.6864049290732406</v>
      </c>
      <c r="K308" s="52" t="s">
        <v>160</v>
      </c>
      <c r="L308" s="52" t="s">
        <v>160</v>
      </c>
      <c r="M308" s="52">
        <v>25.940285724908193</v>
      </c>
      <c r="N308" s="52">
        <v>0.91418656656047281</v>
      </c>
      <c r="O308" s="52">
        <v>25.940285724908193</v>
      </c>
      <c r="P308" s="52" t="s">
        <v>160</v>
      </c>
      <c r="Q308" s="52" t="b">
        <v>0</v>
      </c>
      <c r="R308" s="52">
        <v>47660.913</v>
      </c>
      <c r="S308" s="52" t="b">
        <v>1</v>
      </c>
      <c r="T308" s="52">
        <v>3</v>
      </c>
      <c r="U308" s="52">
        <v>20</v>
      </c>
    </row>
    <row r="309" spans="1:21" x14ac:dyDescent="0.25">
      <c r="A309" s="52">
        <v>67</v>
      </c>
      <c r="B309" s="52" t="s">
        <v>267</v>
      </c>
      <c r="C309" s="52" t="b">
        <v>0</v>
      </c>
      <c r="D309" s="52" t="s">
        <v>268</v>
      </c>
      <c r="E309" s="52" t="s">
        <v>45</v>
      </c>
      <c r="F309" s="52" t="s">
        <v>38</v>
      </c>
      <c r="G309" s="52" t="s">
        <v>10</v>
      </c>
      <c r="H309" s="52" t="s">
        <v>39</v>
      </c>
      <c r="I309" s="52" t="s">
        <v>40</v>
      </c>
      <c r="J309" s="52">
        <v>0</v>
      </c>
      <c r="K309" s="52" t="s">
        <v>160</v>
      </c>
      <c r="L309" s="52" t="s">
        <v>160</v>
      </c>
      <c r="M309" s="52" t="s">
        <v>41</v>
      </c>
      <c r="N309" s="52">
        <v>0</v>
      </c>
      <c r="O309" s="52" t="s">
        <v>160</v>
      </c>
      <c r="P309" s="52" t="s">
        <v>160</v>
      </c>
      <c r="Q309" s="52" t="b">
        <v>0</v>
      </c>
      <c r="R309" s="52">
        <v>161088.065</v>
      </c>
      <c r="S309" s="52" t="b">
        <v>1</v>
      </c>
      <c r="T309" s="52">
        <v>3</v>
      </c>
      <c r="U309" s="52">
        <v>49</v>
      </c>
    </row>
    <row r="310" spans="1:21" x14ac:dyDescent="0.25">
      <c r="A310" s="52">
        <v>68</v>
      </c>
      <c r="B310" s="52" t="s">
        <v>269</v>
      </c>
      <c r="C310" s="52" t="b">
        <v>0</v>
      </c>
      <c r="D310" s="52" t="s">
        <v>270</v>
      </c>
      <c r="E310" s="52" t="s">
        <v>37</v>
      </c>
      <c r="F310" s="52" t="s">
        <v>38</v>
      </c>
      <c r="G310" s="52" t="s">
        <v>11</v>
      </c>
      <c r="H310" s="52" t="s">
        <v>39</v>
      </c>
      <c r="I310" s="52" t="s">
        <v>40</v>
      </c>
      <c r="J310" s="52">
        <v>0</v>
      </c>
      <c r="K310" s="52" t="s">
        <v>160</v>
      </c>
      <c r="L310" s="52" t="s">
        <v>160</v>
      </c>
      <c r="M310" s="52" t="s">
        <v>41</v>
      </c>
      <c r="N310" s="52">
        <v>0</v>
      </c>
      <c r="O310" s="52" t="s">
        <v>160</v>
      </c>
      <c r="P310" s="52" t="s">
        <v>160</v>
      </c>
      <c r="Q310" s="52" t="b">
        <v>0</v>
      </c>
      <c r="R310" s="52">
        <v>74142.899999999994</v>
      </c>
      <c r="S310" s="52" t="b">
        <v>1</v>
      </c>
      <c r="T310" s="52">
        <v>3</v>
      </c>
      <c r="U310" s="52">
        <v>49</v>
      </c>
    </row>
    <row r="311" spans="1:21" x14ac:dyDescent="0.25">
      <c r="A311" s="52">
        <v>68</v>
      </c>
      <c r="B311" s="52" t="s">
        <v>269</v>
      </c>
      <c r="C311" s="52" t="b">
        <v>0</v>
      </c>
      <c r="D311" s="52" t="s">
        <v>270</v>
      </c>
      <c r="E311" s="52" t="s">
        <v>42</v>
      </c>
      <c r="F311" s="52" t="s">
        <v>38</v>
      </c>
      <c r="G311" s="52" t="s">
        <v>13</v>
      </c>
      <c r="H311" s="52" t="s">
        <v>39</v>
      </c>
      <c r="I311" s="52" t="s">
        <v>40</v>
      </c>
      <c r="J311" s="52">
        <v>0</v>
      </c>
      <c r="K311" s="52" t="s">
        <v>160</v>
      </c>
      <c r="L311" s="52" t="s">
        <v>160</v>
      </c>
      <c r="M311" s="52" t="s">
        <v>41</v>
      </c>
      <c r="N311" s="52">
        <v>0</v>
      </c>
      <c r="O311" s="52" t="s">
        <v>160</v>
      </c>
      <c r="P311" s="52" t="s">
        <v>160</v>
      </c>
      <c r="Q311" s="52" t="b">
        <v>0</v>
      </c>
      <c r="R311" s="52">
        <v>46910.862999999998</v>
      </c>
      <c r="S311" s="52" t="b">
        <v>1</v>
      </c>
      <c r="T311" s="52">
        <v>3</v>
      </c>
      <c r="U311" s="52">
        <v>49</v>
      </c>
    </row>
    <row r="312" spans="1:21" x14ac:dyDescent="0.25">
      <c r="A312" s="52">
        <v>68</v>
      </c>
      <c r="B312" s="52" t="s">
        <v>269</v>
      </c>
      <c r="C312" s="52" t="b">
        <v>0</v>
      </c>
      <c r="D312" s="52" t="s">
        <v>270</v>
      </c>
      <c r="E312" s="52" t="s">
        <v>43</v>
      </c>
      <c r="F312" s="52" t="s">
        <v>38</v>
      </c>
      <c r="G312" s="52" t="s">
        <v>12</v>
      </c>
      <c r="H312" s="52" t="s">
        <v>39</v>
      </c>
      <c r="I312" s="52" t="s">
        <v>40</v>
      </c>
      <c r="J312" s="52">
        <v>0</v>
      </c>
      <c r="K312" s="52" t="s">
        <v>160</v>
      </c>
      <c r="L312" s="52" t="s">
        <v>160</v>
      </c>
      <c r="M312" s="52" t="s">
        <v>41</v>
      </c>
      <c r="N312" s="52">
        <v>0</v>
      </c>
      <c r="O312" s="52" t="s">
        <v>160</v>
      </c>
      <c r="P312" s="52" t="s">
        <v>160</v>
      </c>
      <c r="Q312" s="52" t="b">
        <v>0</v>
      </c>
      <c r="R312" s="52">
        <v>69932.437000000005</v>
      </c>
      <c r="S312" s="52" t="b">
        <v>1</v>
      </c>
      <c r="T312" s="52">
        <v>3</v>
      </c>
      <c r="U312" s="52">
        <v>49</v>
      </c>
    </row>
    <row r="313" spans="1:21" x14ac:dyDescent="0.25">
      <c r="A313" s="52">
        <v>68</v>
      </c>
      <c r="B313" s="52" t="s">
        <v>269</v>
      </c>
      <c r="C313" s="52" t="b">
        <v>0</v>
      </c>
      <c r="D313" s="52" t="s">
        <v>270</v>
      </c>
      <c r="E313" s="52" t="s">
        <v>44</v>
      </c>
      <c r="F313" s="52" t="s">
        <v>38</v>
      </c>
      <c r="G313" s="52" t="s">
        <v>14</v>
      </c>
      <c r="H313" s="52" t="s">
        <v>39</v>
      </c>
      <c r="I313" s="52" t="s">
        <v>47</v>
      </c>
      <c r="J313" s="52">
        <v>2.6665107626512983</v>
      </c>
      <c r="K313" s="52" t="s">
        <v>160</v>
      </c>
      <c r="L313" s="52" t="s">
        <v>160</v>
      </c>
      <c r="M313" s="52">
        <v>27.012880594120261</v>
      </c>
      <c r="N313" s="52">
        <v>0.91978089350726577</v>
      </c>
      <c r="O313" s="52">
        <v>27.012880594120261</v>
      </c>
      <c r="P313" s="52" t="s">
        <v>160</v>
      </c>
      <c r="Q313" s="52" t="b">
        <v>0</v>
      </c>
      <c r="R313" s="52">
        <v>47660.913</v>
      </c>
      <c r="S313" s="52" t="b">
        <v>1</v>
      </c>
      <c r="T313" s="52">
        <v>3</v>
      </c>
      <c r="U313" s="52">
        <v>21</v>
      </c>
    </row>
    <row r="314" spans="1:21" x14ac:dyDescent="0.25">
      <c r="A314" s="52">
        <v>68</v>
      </c>
      <c r="B314" s="52" t="s">
        <v>269</v>
      </c>
      <c r="C314" s="52" t="b">
        <v>0</v>
      </c>
      <c r="D314" s="52" t="s">
        <v>270</v>
      </c>
      <c r="E314" s="52" t="s">
        <v>45</v>
      </c>
      <c r="F314" s="52" t="s">
        <v>38</v>
      </c>
      <c r="G314" s="52" t="s">
        <v>10</v>
      </c>
      <c r="H314" s="52" t="s">
        <v>39</v>
      </c>
      <c r="I314" s="52" t="s">
        <v>40</v>
      </c>
      <c r="J314" s="52">
        <v>2.1494783636477672</v>
      </c>
      <c r="K314" s="52" t="s">
        <v>160</v>
      </c>
      <c r="L314" s="52" t="s">
        <v>160</v>
      </c>
      <c r="M314" s="52" t="s">
        <v>41</v>
      </c>
      <c r="N314" s="52">
        <v>0</v>
      </c>
      <c r="O314" s="52" t="s">
        <v>160</v>
      </c>
      <c r="P314" s="52" t="s">
        <v>160</v>
      </c>
      <c r="Q314" s="52" t="b">
        <v>0</v>
      </c>
      <c r="R314" s="52">
        <v>161088.065</v>
      </c>
      <c r="S314" s="52" t="b">
        <v>1</v>
      </c>
      <c r="T314" s="52">
        <v>3</v>
      </c>
      <c r="U314" s="52">
        <v>49</v>
      </c>
    </row>
    <row r="315" spans="1:21" x14ac:dyDescent="0.25">
      <c r="A315" s="52">
        <v>69</v>
      </c>
      <c r="B315" s="52" t="s">
        <v>271</v>
      </c>
      <c r="C315" s="52" t="b">
        <v>0</v>
      </c>
      <c r="D315" s="52" t="s">
        <v>272</v>
      </c>
      <c r="E315" s="52" t="s">
        <v>37</v>
      </c>
      <c r="F315" s="52" t="s">
        <v>38</v>
      </c>
      <c r="G315" s="52" t="s">
        <v>11</v>
      </c>
      <c r="H315" s="52" t="s">
        <v>39</v>
      </c>
      <c r="I315" s="52" t="s">
        <v>47</v>
      </c>
      <c r="J315" s="52">
        <v>2.6488748541498843</v>
      </c>
      <c r="K315" s="52" t="s">
        <v>160</v>
      </c>
      <c r="L315" s="52" t="s">
        <v>160</v>
      </c>
      <c r="M315" s="52">
        <v>34.892701718426125</v>
      </c>
      <c r="N315" s="52">
        <v>0.84556289893060121</v>
      </c>
      <c r="O315" s="52">
        <v>34.892701718426125</v>
      </c>
      <c r="P315" s="52" t="s">
        <v>160</v>
      </c>
      <c r="Q315" s="52" t="b">
        <v>0</v>
      </c>
      <c r="R315" s="52">
        <v>74142.899999999994</v>
      </c>
      <c r="S315" s="52" t="b">
        <v>1</v>
      </c>
      <c r="T315" s="52">
        <v>3</v>
      </c>
      <c r="U315" s="52">
        <v>25</v>
      </c>
    </row>
    <row r="316" spans="1:21" x14ac:dyDescent="0.25">
      <c r="A316" s="52">
        <v>69</v>
      </c>
      <c r="B316" s="52" t="s">
        <v>271</v>
      </c>
      <c r="C316" s="52" t="b">
        <v>0</v>
      </c>
      <c r="D316" s="52" t="s">
        <v>272</v>
      </c>
      <c r="E316" s="52" t="s">
        <v>42</v>
      </c>
      <c r="F316" s="52" t="s">
        <v>38</v>
      </c>
      <c r="G316" s="52" t="s">
        <v>13</v>
      </c>
      <c r="H316" s="52" t="s">
        <v>39</v>
      </c>
      <c r="I316" s="52" t="s">
        <v>47</v>
      </c>
      <c r="J316" s="52">
        <v>2.3468491879891742</v>
      </c>
      <c r="K316" s="52" t="s">
        <v>160</v>
      </c>
      <c r="L316" s="52" t="s">
        <v>160</v>
      </c>
      <c r="M316" s="52">
        <v>38.33488709864821</v>
      </c>
      <c r="N316" s="52">
        <v>0.42845194861470676</v>
      </c>
      <c r="O316" s="52">
        <v>38.33488709864821</v>
      </c>
      <c r="P316" s="52" t="s">
        <v>160</v>
      </c>
      <c r="Q316" s="52" t="b">
        <v>0</v>
      </c>
      <c r="R316" s="52">
        <v>46910.862999999998</v>
      </c>
      <c r="S316" s="52" t="b">
        <v>1</v>
      </c>
      <c r="T316" s="52">
        <v>3</v>
      </c>
      <c r="U316" s="52">
        <v>29</v>
      </c>
    </row>
    <row r="317" spans="1:21" x14ac:dyDescent="0.25">
      <c r="A317" s="52">
        <v>69</v>
      </c>
      <c r="B317" s="52" t="s">
        <v>271</v>
      </c>
      <c r="C317" s="52" t="b">
        <v>0</v>
      </c>
      <c r="D317" s="52" t="s">
        <v>272</v>
      </c>
      <c r="E317" s="52" t="s">
        <v>43</v>
      </c>
      <c r="F317" s="52" t="s">
        <v>38</v>
      </c>
      <c r="G317" s="52" t="s">
        <v>12</v>
      </c>
      <c r="H317" s="52" t="s">
        <v>39</v>
      </c>
      <c r="I317" s="52" t="s">
        <v>40</v>
      </c>
      <c r="J317" s="52">
        <v>0</v>
      </c>
      <c r="K317" s="52" t="s">
        <v>160</v>
      </c>
      <c r="L317" s="52" t="s">
        <v>160</v>
      </c>
      <c r="M317" s="52" t="s">
        <v>41</v>
      </c>
      <c r="N317" s="52">
        <v>0</v>
      </c>
      <c r="O317" s="52" t="s">
        <v>160</v>
      </c>
      <c r="P317" s="52" t="s">
        <v>160</v>
      </c>
      <c r="Q317" s="52" t="b">
        <v>0</v>
      </c>
      <c r="R317" s="52">
        <v>69932.437000000005</v>
      </c>
      <c r="S317" s="52" t="b">
        <v>1</v>
      </c>
      <c r="T317" s="52">
        <v>3</v>
      </c>
      <c r="U317" s="52">
        <v>49</v>
      </c>
    </row>
    <row r="318" spans="1:21" x14ac:dyDescent="0.25">
      <c r="A318" s="52">
        <v>69</v>
      </c>
      <c r="B318" s="52" t="s">
        <v>271</v>
      </c>
      <c r="C318" s="52" t="b">
        <v>0</v>
      </c>
      <c r="D318" s="52" t="s">
        <v>272</v>
      </c>
      <c r="E318" s="52" t="s">
        <v>44</v>
      </c>
      <c r="F318" s="52" t="s">
        <v>38</v>
      </c>
      <c r="G318" s="52" t="s">
        <v>14</v>
      </c>
      <c r="H318" s="52" t="s">
        <v>39</v>
      </c>
      <c r="I318" s="52" t="s">
        <v>47</v>
      </c>
      <c r="J318" s="52">
        <v>2.6664763403523328</v>
      </c>
      <c r="K318" s="52" t="s">
        <v>160</v>
      </c>
      <c r="L318" s="52" t="s">
        <v>160</v>
      </c>
      <c r="M318" s="52">
        <v>25.191292570739741</v>
      </c>
      <c r="N318" s="52">
        <v>0.90490776768603831</v>
      </c>
      <c r="O318" s="52">
        <v>25.191292570739741</v>
      </c>
      <c r="P318" s="52" t="s">
        <v>160</v>
      </c>
      <c r="Q318" s="52" t="b">
        <v>0</v>
      </c>
      <c r="R318" s="52">
        <v>47660.913</v>
      </c>
      <c r="S318" s="52" t="b">
        <v>1</v>
      </c>
      <c r="T318" s="52">
        <v>3</v>
      </c>
      <c r="U318" s="52">
        <v>18</v>
      </c>
    </row>
    <row r="319" spans="1:21" x14ac:dyDescent="0.25">
      <c r="A319" s="52">
        <v>69</v>
      </c>
      <c r="B319" s="52" t="s">
        <v>271</v>
      </c>
      <c r="C319" s="52" t="b">
        <v>0</v>
      </c>
      <c r="D319" s="52" t="s">
        <v>272</v>
      </c>
      <c r="E319" s="52" t="s">
        <v>45</v>
      </c>
      <c r="F319" s="52" t="s">
        <v>38</v>
      </c>
      <c r="G319" s="52" t="s">
        <v>10</v>
      </c>
      <c r="H319" s="52" t="s">
        <v>39</v>
      </c>
      <c r="I319" s="52" t="s">
        <v>40</v>
      </c>
      <c r="J319" s="52">
        <v>0</v>
      </c>
      <c r="K319" s="52" t="s">
        <v>160</v>
      </c>
      <c r="L319" s="52" t="s">
        <v>160</v>
      </c>
      <c r="M319" s="52" t="s">
        <v>41</v>
      </c>
      <c r="N319" s="52">
        <v>0</v>
      </c>
      <c r="O319" s="52" t="s">
        <v>160</v>
      </c>
      <c r="P319" s="52" t="s">
        <v>160</v>
      </c>
      <c r="Q319" s="52" t="b">
        <v>0</v>
      </c>
      <c r="R319" s="52">
        <v>161088.065</v>
      </c>
      <c r="S319" s="52" t="b">
        <v>1</v>
      </c>
      <c r="T319" s="52">
        <v>3</v>
      </c>
      <c r="U319" s="52">
        <v>49</v>
      </c>
    </row>
    <row r="320" spans="1:21" x14ac:dyDescent="0.25">
      <c r="A320" s="52">
        <v>70</v>
      </c>
      <c r="B320" s="52" t="s">
        <v>273</v>
      </c>
      <c r="C320" s="52" t="b">
        <v>0</v>
      </c>
      <c r="D320" s="52" t="s">
        <v>274</v>
      </c>
      <c r="E320" s="52" t="s">
        <v>37</v>
      </c>
      <c r="F320" s="52" t="s">
        <v>38</v>
      </c>
      <c r="G320" s="52" t="s">
        <v>11</v>
      </c>
      <c r="H320" s="52" t="s">
        <v>39</v>
      </c>
      <c r="I320" s="52" t="s">
        <v>47</v>
      </c>
      <c r="J320" s="52">
        <v>2.5537357851167348</v>
      </c>
      <c r="K320" s="52" t="s">
        <v>160</v>
      </c>
      <c r="L320" s="52" t="s">
        <v>160</v>
      </c>
      <c r="M320" s="52">
        <v>40.729107757220184</v>
      </c>
      <c r="N320" s="52">
        <v>0.76024803237506255</v>
      </c>
      <c r="O320" s="52">
        <v>40.729107757220184</v>
      </c>
      <c r="P320" s="52" t="s">
        <v>160</v>
      </c>
      <c r="Q320" s="52" t="b">
        <v>0</v>
      </c>
      <c r="R320" s="52">
        <v>74142.899999999994</v>
      </c>
      <c r="S320" s="52" t="b">
        <v>1</v>
      </c>
      <c r="T320" s="52">
        <v>3</v>
      </c>
      <c r="U320" s="52">
        <v>28</v>
      </c>
    </row>
    <row r="321" spans="1:21" x14ac:dyDescent="0.25">
      <c r="A321" s="52">
        <v>70</v>
      </c>
      <c r="B321" s="52" t="s">
        <v>273</v>
      </c>
      <c r="C321" s="52" t="b">
        <v>0</v>
      </c>
      <c r="D321" s="52" t="s">
        <v>274</v>
      </c>
      <c r="E321" s="52" t="s">
        <v>42</v>
      </c>
      <c r="F321" s="52" t="s">
        <v>38</v>
      </c>
      <c r="G321" s="52" t="s">
        <v>13</v>
      </c>
      <c r="H321" s="52" t="s">
        <v>39</v>
      </c>
      <c r="I321" s="52" t="s">
        <v>40</v>
      </c>
      <c r="J321" s="52">
        <v>0</v>
      </c>
      <c r="K321" s="52" t="s">
        <v>160</v>
      </c>
      <c r="L321" s="52" t="s">
        <v>160</v>
      </c>
      <c r="M321" s="52" t="s">
        <v>41</v>
      </c>
      <c r="N321" s="52">
        <v>0</v>
      </c>
      <c r="O321" s="52" t="s">
        <v>160</v>
      </c>
      <c r="P321" s="52" t="s">
        <v>160</v>
      </c>
      <c r="Q321" s="52" t="b">
        <v>0</v>
      </c>
      <c r="R321" s="52">
        <v>46910.862999999998</v>
      </c>
      <c r="S321" s="52" t="b">
        <v>1</v>
      </c>
      <c r="T321" s="52">
        <v>3</v>
      </c>
      <c r="U321" s="52">
        <v>49</v>
      </c>
    </row>
    <row r="322" spans="1:21" x14ac:dyDescent="0.25">
      <c r="A322" s="52">
        <v>70</v>
      </c>
      <c r="B322" s="52" t="s">
        <v>273</v>
      </c>
      <c r="C322" s="52" t="b">
        <v>0</v>
      </c>
      <c r="D322" s="52" t="s">
        <v>274</v>
      </c>
      <c r="E322" s="52" t="s">
        <v>43</v>
      </c>
      <c r="F322" s="52" t="s">
        <v>38</v>
      </c>
      <c r="G322" s="52" t="s">
        <v>12</v>
      </c>
      <c r="H322" s="52" t="s">
        <v>39</v>
      </c>
      <c r="I322" s="52" t="s">
        <v>40</v>
      </c>
      <c r="J322" s="52">
        <v>0</v>
      </c>
      <c r="K322" s="52" t="s">
        <v>160</v>
      </c>
      <c r="L322" s="52" t="s">
        <v>160</v>
      </c>
      <c r="M322" s="52" t="s">
        <v>41</v>
      </c>
      <c r="N322" s="52">
        <v>0</v>
      </c>
      <c r="O322" s="52" t="s">
        <v>160</v>
      </c>
      <c r="P322" s="52" t="s">
        <v>160</v>
      </c>
      <c r="Q322" s="52" t="b">
        <v>0</v>
      </c>
      <c r="R322" s="52">
        <v>69932.437000000005</v>
      </c>
      <c r="S322" s="52" t="b">
        <v>1</v>
      </c>
      <c r="T322" s="52">
        <v>3</v>
      </c>
      <c r="U322" s="52">
        <v>49</v>
      </c>
    </row>
    <row r="323" spans="1:21" x14ac:dyDescent="0.25">
      <c r="A323" s="52">
        <v>70</v>
      </c>
      <c r="B323" s="52" t="s">
        <v>273</v>
      </c>
      <c r="C323" s="52" t="b">
        <v>0</v>
      </c>
      <c r="D323" s="52" t="s">
        <v>274</v>
      </c>
      <c r="E323" s="52" t="s">
        <v>44</v>
      </c>
      <c r="F323" s="52" t="s">
        <v>38</v>
      </c>
      <c r="G323" s="52" t="s">
        <v>14</v>
      </c>
      <c r="H323" s="52" t="s">
        <v>39</v>
      </c>
      <c r="I323" s="52" t="s">
        <v>47</v>
      </c>
      <c r="J323" s="52">
        <v>2.6267684198871541</v>
      </c>
      <c r="K323" s="52" t="s">
        <v>160</v>
      </c>
      <c r="L323" s="52" t="s">
        <v>160</v>
      </c>
      <c r="M323" s="52">
        <v>26.585969652892771</v>
      </c>
      <c r="N323" s="52">
        <v>0.95947091170183108</v>
      </c>
      <c r="O323" s="52">
        <v>26.585969652892771</v>
      </c>
      <c r="P323" s="52" t="s">
        <v>160</v>
      </c>
      <c r="Q323" s="52" t="b">
        <v>0</v>
      </c>
      <c r="R323" s="52">
        <v>47660.913</v>
      </c>
      <c r="S323" s="52" t="b">
        <v>1</v>
      </c>
      <c r="T323" s="52">
        <v>3</v>
      </c>
      <c r="U323" s="52">
        <v>18</v>
      </c>
    </row>
    <row r="324" spans="1:21" x14ac:dyDescent="0.25">
      <c r="A324" s="52">
        <v>70</v>
      </c>
      <c r="B324" s="52" t="s">
        <v>273</v>
      </c>
      <c r="C324" s="52" t="b">
        <v>0</v>
      </c>
      <c r="D324" s="52" t="s">
        <v>274</v>
      </c>
      <c r="E324" s="52" t="s">
        <v>45</v>
      </c>
      <c r="F324" s="52" t="s">
        <v>38</v>
      </c>
      <c r="G324" s="52" t="s">
        <v>10</v>
      </c>
      <c r="H324" s="52" t="s">
        <v>39</v>
      </c>
      <c r="I324" s="52" t="s">
        <v>40</v>
      </c>
      <c r="J324" s="52">
        <v>0</v>
      </c>
      <c r="K324" s="52" t="s">
        <v>160</v>
      </c>
      <c r="L324" s="52" t="s">
        <v>160</v>
      </c>
      <c r="M324" s="52" t="s">
        <v>41</v>
      </c>
      <c r="N324" s="52">
        <v>0</v>
      </c>
      <c r="O324" s="52" t="s">
        <v>160</v>
      </c>
      <c r="P324" s="52" t="s">
        <v>160</v>
      </c>
      <c r="Q324" s="52" t="b">
        <v>0</v>
      </c>
      <c r="R324" s="52">
        <v>161088.065</v>
      </c>
      <c r="S324" s="52" t="b">
        <v>1</v>
      </c>
      <c r="T324" s="52">
        <v>3</v>
      </c>
      <c r="U324" s="52">
        <v>49</v>
      </c>
    </row>
    <row r="325" spans="1:21" x14ac:dyDescent="0.25">
      <c r="A325" s="52">
        <v>73</v>
      </c>
      <c r="B325" s="52" t="s">
        <v>138</v>
      </c>
      <c r="C325" s="52" t="b">
        <v>0</v>
      </c>
      <c r="D325" s="52" t="s">
        <v>180</v>
      </c>
      <c r="E325" s="52" t="s">
        <v>37</v>
      </c>
      <c r="F325" s="52" t="s">
        <v>38</v>
      </c>
      <c r="G325" s="52" t="s">
        <v>11</v>
      </c>
      <c r="H325" s="52" t="s">
        <v>39</v>
      </c>
      <c r="I325" s="52" t="s">
        <v>47</v>
      </c>
      <c r="J325" s="52">
        <v>2.7548068402423818</v>
      </c>
      <c r="K325" s="52" t="s">
        <v>160</v>
      </c>
      <c r="L325" s="52" t="s">
        <v>160</v>
      </c>
      <c r="M325" s="52">
        <v>29.130098914296809</v>
      </c>
      <c r="N325" s="52">
        <v>0.96662824235970857</v>
      </c>
      <c r="O325" s="52">
        <v>29.130098914296809</v>
      </c>
      <c r="P325" s="52" t="s">
        <v>160</v>
      </c>
      <c r="Q325" s="52" t="b">
        <v>0</v>
      </c>
      <c r="R325" s="52">
        <v>74142.899999999994</v>
      </c>
      <c r="S325" s="52" t="b">
        <v>1</v>
      </c>
      <c r="T325" s="52">
        <v>3</v>
      </c>
      <c r="U325" s="52">
        <v>21</v>
      </c>
    </row>
    <row r="326" spans="1:21" x14ac:dyDescent="0.25">
      <c r="A326" s="52">
        <v>73</v>
      </c>
      <c r="B326" s="52" t="s">
        <v>138</v>
      </c>
      <c r="C326" s="52" t="b">
        <v>0</v>
      </c>
      <c r="D326" s="52" t="s">
        <v>180</v>
      </c>
      <c r="E326" s="52" t="s">
        <v>42</v>
      </c>
      <c r="F326" s="52" t="s">
        <v>38</v>
      </c>
      <c r="G326" s="52" t="s">
        <v>13</v>
      </c>
      <c r="H326" s="52" t="s">
        <v>39</v>
      </c>
      <c r="I326" s="52" t="s">
        <v>47</v>
      </c>
      <c r="J326" s="52">
        <v>2.6537682084326546</v>
      </c>
      <c r="K326" s="52" t="s">
        <v>160</v>
      </c>
      <c r="L326" s="52" t="s">
        <v>160</v>
      </c>
      <c r="M326" s="52">
        <v>31.000403812397671</v>
      </c>
      <c r="N326" s="52">
        <v>0.84422228261149945</v>
      </c>
      <c r="O326" s="52">
        <v>31.000403812397671</v>
      </c>
      <c r="P326" s="52" t="s">
        <v>160</v>
      </c>
      <c r="Q326" s="52" t="b">
        <v>0</v>
      </c>
      <c r="R326" s="52">
        <v>46910.862999999998</v>
      </c>
      <c r="S326" s="52" t="b">
        <v>1</v>
      </c>
      <c r="T326" s="52">
        <v>3</v>
      </c>
      <c r="U326" s="52">
        <v>23</v>
      </c>
    </row>
    <row r="327" spans="1:21" x14ac:dyDescent="0.25">
      <c r="A327" s="52">
        <v>73</v>
      </c>
      <c r="B327" s="52" t="s">
        <v>138</v>
      </c>
      <c r="C327" s="52" t="b">
        <v>0</v>
      </c>
      <c r="D327" s="52" t="s">
        <v>180</v>
      </c>
      <c r="E327" s="52" t="s">
        <v>43</v>
      </c>
      <c r="F327" s="52" t="s">
        <v>38</v>
      </c>
      <c r="G327" s="52" t="s">
        <v>12</v>
      </c>
      <c r="H327" s="52" t="s">
        <v>39</v>
      </c>
      <c r="I327" s="52" t="s">
        <v>139</v>
      </c>
      <c r="J327" s="52">
        <v>0</v>
      </c>
      <c r="K327" s="52" t="s">
        <v>160</v>
      </c>
      <c r="L327" s="52" t="s">
        <v>160</v>
      </c>
      <c r="M327" s="52" t="s">
        <v>41</v>
      </c>
      <c r="N327" s="52">
        <v>0</v>
      </c>
      <c r="O327" s="52" t="s">
        <v>160</v>
      </c>
      <c r="P327" s="52" t="s">
        <v>160</v>
      </c>
      <c r="Q327" s="52" t="b">
        <v>0</v>
      </c>
      <c r="R327" s="52">
        <v>69932.437000000005</v>
      </c>
      <c r="S327" s="52" t="b">
        <v>1</v>
      </c>
      <c r="T327" s="52">
        <v>3</v>
      </c>
      <c r="U327" s="52">
        <v>49</v>
      </c>
    </row>
    <row r="328" spans="1:21" x14ac:dyDescent="0.25">
      <c r="A328" s="52">
        <v>73</v>
      </c>
      <c r="B328" s="52" t="s">
        <v>138</v>
      </c>
      <c r="C328" s="52" t="b">
        <v>0</v>
      </c>
      <c r="D328" s="52" t="s">
        <v>180</v>
      </c>
      <c r="E328" s="52" t="s">
        <v>44</v>
      </c>
      <c r="F328" s="52" t="s">
        <v>38</v>
      </c>
      <c r="G328" s="52" t="s">
        <v>14</v>
      </c>
      <c r="H328" s="52" t="s">
        <v>39</v>
      </c>
      <c r="I328" s="52" t="s">
        <v>47</v>
      </c>
      <c r="J328" s="52">
        <v>2.571746530690449</v>
      </c>
      <c r="K328" s="52" t="s">
        <v>160</v>
      </c>
      <c r="L328" s="52" t="s">
        <v>160</v>
      </c>
      <c r="M328" s="52">
        <v>24.552681502728106</v>
      </c>
      <c r="N328" s="52">
        <v>0.91967856355211619</v>
      </c>
      <c r="O328" s="52">
        <v>24.552681502728106</v>
      </c>
      <c r="P328" s="52" t="s">
        <v>160</v>
      </c>
      <c r="Q328" s="52" t="b">
        <v>0</v>
      </c>
      <c r="R328" s="52">
        <v>47660.913</v>
      </c>
      <c r="S328" s="52" t="b">
        <v>1</v>
      </c>
      <c r="T328" s="52">
        <v>3</v>
      </c>
      <c r="U328" s="52">
        <v>16</v>
      </c>
    </row>
    <row r="329" spans="1:21" x14ac:dyDescent="0.25">
      <c r="A329" s="52">
        <v>73</v>
      </c>
      <c r="B329" s="52" t="s">
        <v>138</v>
      </c>
      <c r="C329" s="52" t="b">
        <v>0</v>
      </c>
      <c r="D329" s="52" t="s">
        <v>180</v>
      </c>
      <c r="E329" s="52" t="s">
        <v>45</v>
      </c>
      <c r="F329" s="52" t="s">
        <v>38</v>
      </c>
      <c r="G329" s="52" t="s">
        <v>10</v>
      </c>
      <c r="H329" s="52" t="s">
        <v>39</v>
      </c>
      <c r="I329" s="52" t="s">
        <v>139</v>
      </c>
      <c r="J329" s="52">
        <v>0</v>
      </c>
      <c r="K329" s="52" t="s">
        <v>160</v>
      </c>
      <c r="L329" s="52" t="s">
        <v>160</v>
      </c>
      <c r="M329" s="52" t="s">
        <v>41</v>
      </c>
      <c r="N329" s="52">
        <v>0</v>
      </c>
      <c r="O329" s="52" t="s">
        <v>160</v>
      </c>
      <c r="P329" s="52" t="s">
        <v>160</v>
      </c>
      <c r="Q329" s="52" t="b">
        <v>0</v>
      </c>
      <c r="R329" s="52">
        <v>161088.065</v>
      </c>
      <c r="S329" s="52" t="b">
        <v>1</v>
      </c>
      <c r="T329" s="52">
        <v>3</v>
      </c>
      <c r="U329" s="52">
        <v>49</v>
      </c>
    </row>
    <row r="330" spans="1:21" x14ac:dyDescent="0.25">
      <c r="A330" s="52">
        <v>74</v>
      </c>
      <c r="B330" s="52" t="s">
        <v>140</v>
      </c>
      <c r="C330" s="52" t="b">
        <v>0</v>
      </c>
      <c r="D330" s="52" t="s">
        <v>181</v>
      </c>
      <c r="E330" s="52" t="s">
        <v>37</v>
      </c>
      <c r="F330" s="52" t="s">
        <v>38</v>
      </c>
      <c r="G330" s="52" t="s">
        <v>11</v>
      </c>
      <c r="H330" s="52" t="s">
        <v>39</v>
      </c>
      <c r="I330" s="52" t="s">
        <v>47</v>
      </c>
      <c r="J330" s="52">
        <v>2.7451523965284474</v>
      </c>
      <c r="K330" s="52" t="s">
        <v>160</v>
      </c>
      <c r="L330" s="52" t="s">
        <v>160</v>
      </c>
      <c r="M330" s="52">
        <v>30.15533986255479</v>
      </c>
      <c r="N330" s="52">
        <v>0.97607827918254608</v>
      </c>
      <c r="O330" s="52">
        <v>30.15533986255479</v>
      </c>
      <c r="P330" s="52" t="s">
        <v>160</v>
      </c>
      <c r="Q330" s="52" t="b">
        <v>0</v>
      </c>
      <c r="R330" s="52">
        <v>74142.899999999994</v>
      </c>
      <c r="S330" s="52" t="b">
        <v>1</v>
      </c>
      <c r="T330" s="52">
        <v>3</v>
      </c>
      <c r="U330" s="52">
        <v>22</v>
      </c>
    </row>
    <row r="331" spans="1:21" x14ac:dyDescent="0.25">
      <c r="A331" s="52">
        <v>74</v>
      </c>
      <c r="B331" s="52" t="s">
        <v>140</v>
      </c>
      <c r="C331" s="52" t="b">
        <v>0</v>
      </c>
      <c r="D331" s="52" t="s">
        <v>181</v>
      </c>
      <c r="E331" s="52" t="s">
        <v>42</v>
      </c>
      <c r="F331" s="52" t="s">
        <v>38</v>
      </c>
      <c r="G331" s="52" t="s">
        <v>13</v>
      </c>
      <c r="H331" s="52" t="s">
        <v>39</v>
      </c>
      <c r="I331" s="52" t="s">
        <v>47</v>
      </c>
      <c r="J331" s="52">
        <v>2.6348874068520316</v>
      </c>
      <c r="K331" s="52" t="s">
        <v>160</v>
      </c>
      <c r="L331" s="52" t="s">
        <v>160</v>
      </c>
      <c r="M331" s="52">
        <v>32.162006574935937</v>
      </c>
      <c r="N331" s="52">
        <v>0.92781935525813075</v>
      </c>
      <c r="O331" s="52">
        <v>32.162006574935937</v>
      </c>
      <c r="P331" s="52" t="s">
        <v>160</v>
      </c>
      <c r="Q331" s="52" t="b">
        <v>0</v>
      </c>
      <c r="R331" s="52">
        <v>46910.862999999998</v>
      </c>
      <c r="S331" s="52" t="b">
        <v>1</v>
      </c>
      <c r="T331" s="52">
        <v>3</v>
      </c>
      <c r="U331" s="52">
        <v>24</v>
      </c>
    </row>
    <row r="332" spans="1:21" x14ac:dyDescent="0.25">
      <c r="A332" s="52">
        <v>74</v>
      </c>
      <c r="B332" s="52" t="s">
        <v>140</v>
      </c>
      <c r="C332" s="52" t="b">
        <v>0</v>
      </c>
      <c r="D332" s="52" t="s">
        <v>181</v>
      </c>
      <c r="E332" s="52" t="s">
        <v>43</v>
      </c>
      <c r="F332" s="52" t="s">
        <v>38</v>
      </c>
      <c r="G332" s="52" t="s">
        <v>12</v>
      </c>
      <c r="H332" s="52" t="s">
        <v>39</v>
      </c>
      <c r="I332" s="52" t="s">
        <v>139</v>
      </c>
      <c r="J332" s="52">
        <v>0</v>
      </c>
      <c r="K332" s="52" t="s">
        <v>160</v>
      </c>
      <c r="L332" s="52" t="s">
        <v>160</v>
      </c>
      <c r="M332" s="52" t="s">
        <v>41</v>
      </c>
      <c r="N332" s="52">
        <v>0</v>
      </c>
      <c r="O332" s="52" t="s">
        <v>160</v>
      </c>
      <c r="P332" s="52" t="s">
        <v>160</v>
      </c>
      <c r="Q332" s="52" t="b">
        <v>0</v>
      </c>
      <c r="R332" s="52">
        <v>69932.437000000005</v>
      </c>
      <c r="S332" s="52" t="b">
        <v>1</v>
      </c>
      <c r="T332" s="52">
        <v>3</v>
      </c>
      <c r="U332" s="52">
        <v>49</v>
      </c>
    </row>
    <row r="333" spans="1:21" x14ac:dyDescent="0.25">
      <c r="A333" s="52">
        <v>74</v>
      </c>
      <c r="B333" s="52" t="s">
        <v>140</v>
      </c>
      <c r="C333" s="52" t="b">
        <v>0</v>
      </c>
      <c r="D333" s="52" t="s">
        <v>181</v>
      </c>
      <c r="E333" s="52" t="s">
        <v>44</v>
      </c>
      <c r="F333" s="52" t="s">
        <v>38</v>
      </c>
      <c r="G333" s="52" t="s">
        <v>14</v>
      </c>
      <c r="H333" s="52" t="s">
        <v>39</v>
      </c>
      <c r="I333" s="52" t="s">
        <v>47</v>
      </c>
      <c r="J333" s="52">
        <v>2.584745372828503</v>
      </c>
      <c r="K333" s="52" t="s">
        <v>160</v>
      </c>
      <c r="L333" s="52" t="s">
        <v>160</v>
      </c>
      <c r="M333" s="52">
        <v>25.850523532834302</v>
      </c>
      <c r="N333" s="52">
        <v>0.94000790095245368</v>
      </c>
      <c r="O333" s="52">
        <v>25.850523532834302</v>
      </c>
      <c r="P333" s="52" t="s">
        <v>160</v>
      </c>
      <c r="Q333" s="52" t="b">
        <v>0</v>
      </c>
      <c r="R333" s="52">
        <v>47660.913</v>
      </c>
      <c r="S333" s="52" t="b">
        <v>1</v>
      </c>
      <c r="T333" s="52">
        <v>3</v>
      </c>
      <c r="U333" s="52">
        <v>18</v>
      </c>
    </row>
    <row r="334" spans="1:21" x14ac:dyDescent="0.25">
      <c r="A334" s="52">
        <v>74</v>
      </c>
      <c r="B334" s="52" t="s">
        <v>140</v>
      </c>
      <c r="C334" s="52" t="b">
        <v>0</v>
      </c>
      <c r="D334" s="52" t="s">
        <v>181</v>
      </c>
      <c r="E334" s="52" t="s">
        <v>45</v>
      </c>
      <c r="F334" s="52" t="s">
        <v>38</v>
      </c>
      <c r="G334" s="52" t="s">
        <v>10</v>
      </c>
      <c r="H334" s="52" t="s">
        <v>39</v>
      </c>
      <c r="I334" s="52" t="s">
        <v>139</v>
      </c>
      <c r="J334" s="52">
        <v>2.1357712453208135</v>
      </c>
      <c r="K334" s="52" t="s">
        <v>160</v>
      </c>
      <c r="L334" s="52" t="s">
        <v>160</v>
      </c>
      <c r="M334" s="52" t="s">
        <v>41</v>
      </c>
      <c r="N334" s="52">
        <v>0</v>
      </c>
      <c r="O334" s="52" t="s">
        <v>160</v>
      </c>
      <c r="P334" s="52" t="s">
        <v>160</v>
      </c>
      <c r="Q334" s="52" t="b">
        <v>0</v>
      </c>
      <c r="R334" s="52">
        <v>161088.065</v>
      </c>
      <c r="S334" s="52" t="b">
        <v>1</v>
      </c>
      <c r="T334" s="52">
        <v>3</v>
      </c>
      <c r="U334" s="52">
        <v>49</v>
      </c>
    </row>
    <row r="335" spans="1:21" x14ac:dyDescent="0.25">
      <c r="A335" s="52">
        <v>75</v>
      </c>
      <c r="B335" s="52" t="s">
        <v>141</v>
      </c>
      <c r="C335" s="52" t="b">
        <v>0</v>
      </c>
      <c r="D335" s="52" t="s">
        <v>182</v>
      </c>
      <c r="E335" s="52" t="s">
        <v>37</v>
      </c>
      <c r="F335" s="52" t="s">
        <v>38</v>
      </c>
      <c r="G335" s="52" t="s">
        <v>11</v>
      </c>
      <c r="H335" s="52" t="s">
        <v>39</v>
      </c>
      <c r="I335" s="52" t="s">
        <v>47</v>
      </c>
      <c r="J335" s="52">
        <v>2.7666992883759249</v>
      </c>
      <c r="K335" s="52" t="s">
        <v>160</v>
      </c>
      <c r="L335" s="52" t="s">
        <v>160</v>
      </c>
      <c r="M335" s="52">
        <v>30.986399057847947</v>
      </c>
      <c r="N335" s="52">
        <v>0.96134847642636512</v>
      </c>
      <c r="O335" s="52">
        <v>30.986399057847947</v>
      </c>
      <c r="P335" s="52" t="s">
        <v>160</v>
      </c>
      <c r="Q335" s="52" t="b">
        <v>0</v>
      </c>
      <c r="R335" s="52">
        <v>74142.899999999994</v>
      </c>
      <c r="S335" s="52" t="b">
        <v>1</v>
      </c>
      <c r="T335" s="52">
        <v>3</v>
      </c>
      <c r="U335" s="52">
        <v>23</v>
      </c>
    </row>
    <row r="336" spans="1:21" x14ac:dyDescent="0.25">
      <c r="A336" s="52">
        <v>75</v>
      </c>
      <c r="B336" s="52" t="s">
        <v>141</v>
      </c>
      <c r="C336" s="52" t="b">
        <v>0</v>
      </c>
      <c r="D336" s="52" t="s">
        <v>182</v>
      </c>
      <c r="E336" s="52" t="s">
        <v>42</v>
      </c>
      <c r="F336" s="52" t="s">
        <v>38</v>
      </c>
      <c r="G336" s="52" t="s">
        <v>13</v>
      </c>
      <c r="H336" s="52" t="s">
        <v>39</v>
      </c>
      <c r="I336" s="52" t="s">
        <v>47</v>
      </c>
      <c r="J336" s="52">
        <v>2.6875307351440298</v>
      </c>
      <c r="K336" s="52" t="s">
        <v>160</v>
      </c>
      <c r="L336" s="52" t="s">
        <v>160</v>
      </c>
      <c r="M336" s="52">
        <v>32.503210874600001</v>
      </c>
      <c r="N336" s="52">
        <v>0.93133887268055748</v>
      </c>
      <c r="O336" s="52">
        <v>32.503210874600001</v>
      </c>
      <c r="P336" s="52" t="s">
        <v>160</v>
      </c>
      <c r="Q336" s="52" t="b">
        <v>0</v>
      </c>
      <c r="R336" s="52">
        <v>46910.862999999998</v>
      </c>
      <c r="S336" s="52" t="b">
        <v>1</v>
      </c>
      <c r="T336" s="52">
        <v>3</v>
      </c>
      <c r="U336" s="52">
        <v>25</v>
      </c>
    </row>
    <row r="337" spans="1:21" x14ac:dyDescent="0.25">
      <c r="A337" s="52">
        <v>75</v>
      </c>
      <c r="B337" s="52" t="s">
        <v>141</v>
      </c>
      <c r="C337" s="52" t="b">
        <v>0</v>
      </c>
      <c r="D337" s="52" t="s">
        <v>182</v>
      </c>
      <c r="E337" s="52" t="s">
        <v>43</v>
      </c>
      <c r="F337" s="52" t="s">
        <v>38</v>
      </c>
      <c r="G337" s="52" t="s">
        <v>12</v>
      </c>
      <c r="H337" s="52" t="s">
        <v>39</v>
      </c>
      <c r="I337" s="52" t="s">
        <v>139</v>
      </c>
      <c r="J337" s="52">
        <v>1.9496434393025013</v>
      </c>
      <c r="K337" s="52" t="s">
        <v>160</v>
      </c>
      <c r="L337" s="52" t="s">
        <v>160</v>
      </c>
      <c r="M337" s="52" t="s">
        <v>41</v>
      </c>
      <c r="N337" s="52">
        <v>0</v>
      </c>
      <c r="O337" s="52" t="s">
        <v>160</v>
      </c>
      <c r="P337" s="52" t="s">
        <v>160</v>
      </c>
      <c r="Q337" s="52" t="b">
        <v>0</v>
      </c>
      <c r="R337" s="52">
        <v>69932.437000000005</v>
      </c>
      <c r="S337" s="52" t="b">
        <v>1</v>
      </c>
      <c r="T337" s="52">
        <v>3</v>
      </c>
      <c r="U337" s="52">
        <v>49</v>
      </c>
    </row>
    <row r="338" spans="1:21" x14ac:dyDescent="0.25">
      <c r="A338" s="52">
        <v>75</v>
      </c>
      <c r="B338" s="52" t="s">
        <v>141</v>
      </c>
      <c r="C338" s="52" t="b">
        <v>0</v>
      </c>
      <c r="D338" s="52" t="s">
        <v>182</v>
      </c>
      <c r="E338" s="52" t="s">
        <v>44</v>
      </c>
      <c r="F338" s="52" t="s">
        <v>38</v>
      </c>
      <c r="G338" s="52" t="s">
        <v>14</v>
      </c>
      <c r="H338" s="52" t="s">
        <v>39</v>
      </c>
      <c r="I338" s="52" t="s">
        <v>47</v>
      </c>
      <c r="J338" s="52">
        <v>2.6260421494041579</v>
      </c>
      <c r="K338" s="52" t="s">
        <v>160</v>
      </c>
      <c r="L338" s="52" t="s">
        <v>160</v>
      </c>
      <c r="M338" s="52">
        <v>26.057923391057965</v>
      </c>
      <c r="N338" s="52">
        <v>0.90576407479517551</v>
      </c>
      <c r="O338" s="52">
        <v>26.057923391057965</v>
      </c>
      <c r="P338" s="52" t="s">
        <v>160</v>
      </c>
      <c r="Q338" s="52" t="b">
        <v>0</v>
      </c>
      <c r="R338" s="52">
        <v>47660.913</v>
      </c>
      <c r="S338" s="52" t="b">
        <v>1</v>
      </c>
      <c r="T338" s="52">
        <v>3</v>
      </c>
      <c r="U338" s="52">
        <v>18</v>
      </c>
    </row>
    <row r="339" spans="1:21" x14ac:dyDescent="0.25">
      <c r="A339" s="52">
        <v>75</v>
      </c>
      <c r="B339" s="52" t="s">
        <v>141</v>
      </c>
      <c r="C339" s="52" t="b">
        <v>0</v>
      </c>
      <c r="D339" s="52" t="s">
        <v>182</v>
      </c>
      <c r="E339" s="52" t="s">
        <v>45</v>
      </c>
      <c r="F339" s="52" t="s">
        <v>38</v>
      </c>
      <c r="G339" s="52" t="s">
        <v>10</v>
      </c>
      <c r="H339" s="52" t="s">
        <v>39</v>
      </c>
      <c r="I339" s="52" t="s">
        <v>139</v>
      </c>
      <c r="J339" s="52">
        <v>2.3142781144659734</v>
      </c>
      <c r="K339" s="52" t="s">
        <v>160</v>
      </c>
      <c r="L339" s="52" t="s">
        <v>160</v>
      </c>
      <c r="M339" s="52" t="s">
        <v>41</v>
      </c>
      <c r="N339" s="52">
        <v>0</v>
      </c>
      <c r="O339" s="52" t="s">
        <v>160</v>
      </c>
      <c r="P339" s="52" t="s">
        <v>160</v>
      </c>
      <c r="Q339" s="52" t="b">
        <v>0</v>
      </c>
      <c r="R339" s="52">
        <v>161088.065</v>
      </c>
      <c r="S339" s="52" t="b">
        <v>1</v>
      </c>
      <c r="T339" s="52">
        <v>3</v>
      </c>
      <c r="U339" s="52">
        <v>49</v>
      </c>
    </row>
    <row r="340" spans="1:21" x14ac:dyDescent="0.25">
      <c r="A340" s="52">
        <v>76</v>
      </c>
      <c r="B340" s="52" t="s">
        <v>142</v>
      </c>
      <c r="C340" s="52" t="b">
        <v>0</v>
      </c>
      <c r="D340" s="52" t="s">
        <v>183</v>
      </c>
      <c r="E340" s="52" t="s">
        <v>37</v>
      </c>
      <c r="F340" s="52" t="s">
        <v>38</v>
      </c>
      <c r="G340" s="52" t="s">
        <v>11</v>
      </c>
      <c r="H340" s="52" t="s">
        <v>39</v>
      </c>
      <c r="I340" s="52" t="s">
        <v>47</v>
      </c>
      <c r="J340" s="52">
        <v>2.7733181336465189</v>
      </c>
      <c r="K340" s="52" t="s">
        <v>160</v>
      </c>
      <c r="L340" s="52" t="s">
        <v>160</v>
      </c>
      <c r="M340" s="52">
        <v>28.697201817268422</v>
      </c>
      <c r="N340" s="52">
        <v>0.97986817147502403</v>
      </c>
      <c r="O340" s="52">
        <v>28.697201817268422</v>
      </c>
      <c r="P340" s="52" t="s">
        <v>160</v>
      </c>
      <c r="Q340" s="52" t="b">
        <v>0</v>
      </c>
      <c r="R340" s="52">
        <v>74142.899999999994</v>
      </c>
      <c r="S340" s="52" t="b">
        <v>1</v>
      </c>
      <c r="T340" s="52">
        <v>3</v>
      </c>
      <c r="U340" s="52">
        <v>20</v>
      </c>
    </row>
    <row r="341" spans="1:21" x14ac:dyDescent="0.25">
      <c r="A341" s="52">
        <v>76</v>
      </c>
      <c r="B341" s="52" t="s">
        <v>142</v>
      </c>
      <c r="C341" s="52" t="b">
        <v>0</v>
      </c>
      <c r="D341" s="52" t="s">
        <v>183</v>
      </c>
      <c r="E341" s="52" t="s">
        <v>42</v>
      </c>
      <c r="F341" s="52" t="s">
        <v>38</v>
      </c>
      <c r="G341" s="52" t="s">
        <v>13</v>
      </c>
      <c r="H341" s="52" t="s">
        <v>39</v>
      </c>
      <c r="I341" s="52" t="s">
        <v>47</v>
      </c>
      <c r="J341" s="52">
        <v>2.7014041030514422</v>
      </c>
      <c r="K341" s="52" t="s">
        <v>160</v>
      </c>
      <c r="L341" s="52" t="s">
        <v>160</v>
      </c>
      <c r="M341" s="52">
        <v>30.717469730368599</v>
      </c>
      <c r="N341" s="52">
        <v>0.91497270599705016</v>
      </c>
      <c r="O341" s="52">
        <v>30.717469730368599</v>
      </c>
      <c r="P341" s="52" t="s">
        <v>160</v>
      </c>
      <c r="Q341" s="52" t="b">
        <v>0</v>
      </c>
      <c r="R341" s="52">
        <v>46910.862999999998</v>
      </c>
      <c r="S341" s="52" t="b">
        <v>1</v>
      </c>
      <c r="T341" s="52">
        <v>3</v>
      </c>
      <c r="U341" s="52">
        <v>24</v>
      </c>
    </row>
    <row r="342" spans="1:21" x14ac:dyDescent="0.25">
      <c r="A342" s="52">
        <v>76</v>
      </c>
      <c r="B342" s="52" t="s">
        <v>142</v>
      </c>
      <c r="C342" s="52" t="b">
        <v>0</v>
      </c>
      <c r="D342" s="52" t="s">
        <v>183</v>
      </c>
      <c r="E342" s="52" t="s">
        <v>43</v>
      </c>
      <c r="F342" s="52" t="s">
        <v>38</v>
      </c>
      <c r="G342" s="52" t="s">
        <v>12</v>
      </c>
      <c r="H342" s="52" t="s">
        <v>39</v>
      </c>
      <c r="I342" s="52" t="s">
        <v>139</v>
      </c>
      <c r="J342" s="52">
        <v>0</v>
      </c>
      <c r="K342" s="52" t="s">
        <v>160</v>
      </c>
      <c r="L342" s="52" t="s">
        <v>160</v>
      </c>
      <c r="M342" s="52" t="s">
        <v>41</v>
      </c>
      <c r="N342" s="52">
        <v>0</v>
      </c>
      <c r="O342" s="52" t="s">
        <v>160</v>
      </c>
      <c r="P342" s="52" t="s">
        <v>160</v>
      </c>
      <c r="Q342" s="52" t="b">
        <v>0</v>
      </c>
      <c r="R342" s="52">
        <v>69932.437000000005</v>
      </c>
      <c r="S342" s="52" t="b">
        <v>1</v>
      </c>
      <c r="T342" s="52">
        <v>3</v>
      </c>
      <c r="U342" s="52">
        <v>49</v>
      </c>
    </row>
    <row r="343" spans="1:21" x14ac:dyDescent="0.25">
      <c r="A343" s="52">
        <v>76</v>
      </c>
      <c r="B343" s="52" t="s">
        <v>142</v>
      </c>
      <c r="C343" s="52" t="b">
        <v>0</v>
      </c>
      <c r="D343" s="52" t="s">
        <v>183</v>
      </c>
      <c r="E343" s="52" t="s">
        <v>44</v>
      </c>
      <c r="F343" s="52" t="s">
        <v>38</v>
      </c>
      <c r="G343" s="52" t="s">
        <v>14</v>
      </c>
      <c r="H343" s="52" t="s">
        <v>39</v>
      </c>
      <c r="I343" s="52" t="s">
        <v>47</v>
      </c>
      <c r="J343" s="52">
        <v>2.6595596364023901</v>
      </c>
      <c r="K343" s="52" t="s">
        <v>160</v>
      </c>
      <c r="L343" s="52" t="s">
        <v>160</v>
      </c>
      <c r="M343" s="52">
        <v>24.689131179326331</v>
      </c>
      <c r="N343" s="52">
        <v>0.93524978347535959</v>
      </c>
      <c r="O343" s="52">
        <v>24.689131179326331</v>
      </c>
      <c r="P343" s="52" t="s">
        <v>160</v>
      </c>
      <c r="Q343" s="52" t="b">
        <v>0</v>
      </c>
      <c r="R343" s="52">
        <v>47660.913</v>
      </c>
      <c r="S343" s="52" t="b">
        <v>1</v>
      </c>
      <c r="T343" s="52">
        <v>3</v>
      </c>
      <c r="U343" s="52">
        <v>17</v>
      </c>
    </row>
    <row r="344" spans="1:21" x14ac:dyDescent="0.25">
      <c r="A344" s="52">
        <v>76</v>
      </c>
      <c r="B344" s="52" t="s">
        <v>142</v>
      </c>
      <c r="C344" s="52" t="b">
        <v>0</v>
      </c>
      <c r="D344" s="52" t="s">
        <v>183</v>
      </c>
      <c r="E344" s="52" t="s">
        <v>45</v>
      </c>
      <c r="F344" s="52" t="s">
        <v>38</v>
      </c>
      <c r="G344" s="52" t="s">
        <v>10</v>
      </c>
      <c r="H344" s="52" t="s">
        <v>39</v>
      </c>
      <c r="I344" s="52" t="s">
        <v>139</v>
      </c>
      <c r="J344" s="52">
        <v>0</v>
      </c>
      <c r="K344" s="52" t="s">
        <v>160</v>
      </c>
      <c r="L344" s="52" t="s">
        <v>160</v>
      </c>
      <c r="M344" s="52" t="s">
        <v>41</v>
      </c>
      <c r="N344" s="52">
        <v>0</v>
      </c>
      <c r="O344" s="52" t="s">
        <v>160</v>
      </c>
      <c r="P344" s="52" t="s">
        <v>160</v>
      </c>
      <c r="Q344" s="52" t="b">
        <v>0</v>
      </c>
      <c r="R344" s="52">
        <v>161088.065</v>
      </c>
      <c r="S344" s="52" t="b">
        <v>1</v>
      </c>
      <c r="T344" s="52">
        <v>3</v>
      </c>
      <c r="U344" s="52">
        <v>49</v>
      </c>
    </row>
    <row r="345" spans="1:21" x14ac:dyDescent="0.25">
      <c r="A345" s="52">
        <v>77</v>
      </c>
      <c r="B345" s="52" t="s">
        <v>143</v>
      </c>
      <c r="C345" s="52" t="b">
        <v>0</v>
      </c>
      <c r="D345" s="52" t="s">
        <v>184</v>
      </c>
      <c r="E345" s="52" t="s">
        <v>37</v>
      </c>
      <c r="F345" s="52" t="s">
        <v>38</v>
      </c>
      <c r="G345" s="52" t="s">
        <v>11</v>
      </c>
      <c r="H345" s="52" t="s">
        <v>39</v>
      </c>
      <c r="I345" s="52" t="s">
        <v>47</v>
      </c>
      <c r="J345" s="52">
        <v>2.7970264416409907</v>
      </c>
      <c r="K345" s="52" t="s">
        <v>160</v>
      </c>
      <c r="L345" s="52" t="s">
        <v>160</v>
      </c>
      <c r="M345" s="52">
        <v>28.777062908184284</v>
      </c>
      <c r="N345" s="52">
        <v>0.96071312557399857</v>
      </c>
      <c r="O345" s="52">
        <v>28.777062908184284</v>
      </c>
      <c r="P345" s="52" t="s">
        <v>160</v>
      </c>
      <c r="Q345" s="52" t="b">
        <v>0</v>
      </c>
      <c r="R345" s="52">
        <v>74142.899999999994</v>
      </c>
      <c r="S345" s="52" t="b">
        <v>1</v>
      </c>
      <c r="T345" s="52">
        <v>3</v>
      </c>
      <c r="U345" s="52">
        <v>22</v>
      </c>
    </row>
    <row r="346" spans="1:21" x14ac:dyDescent="0.25">
      <c r="A346" s="52">
        <v>77</v>
      </c>
      <c r="B346" s="52" t="s">
        <v>143</v>
      </c>
      <c r="C346" s="52" t="b">
        <v>0</v>
      </c>
      <c r="D346" s="52" t="s">
        <v>184</v>
      </c>
      <c r="E346" s="52" t="s">
        <v>42</v>
      </c>
      <c r="F346" s="52" t="s">
        <v>38</v>
      </c>
      <c r="G346" s="52" t="s">
        <v>13</v>
      </c>
      <c r="H346" s="52" t="s">
        <v>39</v>
      </c>
      <c r="I346" s="52" t="s">
        <v>47</v>
      </c>
      <c r="J346" s="52">
        <v>2.717797325249232</v>
      </c>
      <c r="K346" s="52" t="s">
        <v>160</v>
      </c>
      <c r="L346" s="52" t="s">
        <v>160</v>
      </c>
      <c r="M346" s="52">
        <v>30.460896536127457</v>
      </c>
      <c r="N346" s="52">
        <v>0.93538893418085456</v>
      </c>
      <c r="O346" s="52">
        <v>30.460896536127457</v>
      </c>
      <c r="P346" s="52" t="s">
        <v>160</v>
      </c>
      <c r="Q346" s="52" t="b">
        <v>0</v>
      </c>
      <c r="R346" s="52">
        <v>46910.862999999998</v>
      </c>
      <c r="S346" s="52" t="b">
        <v>1</v>
      </c>
      <c r="T346" s="52">
        <v>3</v>
      </c>
      <c r="U346" s="52">
        <v>26</v>
      </c>
    </row>
    <row r="347" spans="1:21" x14ac:dyDescent="0.25">
      <c r="A347" s="52">
        <v>77</v>
      </c>
      <c r="B347" s="52" t="s">
        <v>143</v>
      </c>
      <c r="C347" s="52" t="b">
        <v>0</v>
      </c>
      <c r="D347" s="52" t="s">
        <v>184</v>
      </c>
      <c r="E347" s="52" t="s">
        <v>43</v>
      </c>
      <c r="F347" s="52" t="s">
        <v>38</v>
      </c>
      <c r="G347" s="52" t="s">
        <v>12</v>
      </c>
      <c r="H347" s="52" t="s">
        <v>39</v>
      </c>
      <c r="I347" s="52" t="s">
        <v>139</v>
      </c>
      <c r="J347" s="52">
        <v>0</v>
      </c>
      <c r="K347" s="52" t="s">
        <v>160</v>
      </c>
      <c r="L347" s="52" t="s">
        <v>160</v>
      </c>
      <c r="M347" s="52" t="s">
        <v>41</v>
      </c>
      <c r="N347" s="52">
        <v>0</v>
      </c>
      <c r="O347" s="52" t="s">
        <v>160</v>
      </c>
      <c r="P347" s="52" t="s">
        <v>160</v>
      </c>
      <c r="Q347" s="52" t="b">
        <v>0</v>
      </c>
      <c r="R347" s="52">
        <v>69932.437000000005</v>
      </c>
      <c r="S347" s="52" t="b">
        <v>1</v>
      </c>
      <c r="T347" s="52">
        <v>3</v>
      </c>
      <c r="U347" s="52">
        <v>49</v>
      </c>
    </row>
    <row r="348" spans="1:21" x14ac:dyDescent="0.25">
      <c r="A348" s="52">
        <v>77</v>
      </c>
      <c r="B348" s="52" t="s">
        <v>143</v>
      </c>
      <c r="C348" s="52" t="b">
        <v>0</v>
      </c>
      <c r="D348" s="52" t="s">
        <v>184</v>
      </c>
      <c r="E348" s="52" t="s">
        <v>44</v>
      </c>
      <c r="F348" s="52" t="s">
        <v>38</v>
      </c>
      <c r="G348" s="52" t="s">
        <v>14</v>
      </c>
      <c r="H348" s="52" t="s">
        <v>39</v>
      </c>
      <c r="I348" s="52" t="s">
        <v>47</v>
      </c>
      <c r="J348" s="52">
        <v>2.6880632311484041</v>
      </c>
      <c r="K348" s="52" t="s">
        <v>160</v>
      </c>
      <c r="L348" s="52" t="s">
        <v>160</v>
      </c>
      <c r="M348" s="52">
        <v>23.688704744766383</v>
      </c>
      <c r="N348" s="52">
        <v>0.93340287407755218</v>
      </c>
      <c r="O348" s="52">
        <v>23.688704744766383</v>
      </c>
      <c r="P348" s="52" t="s">
        <v>160</v>
      </c>
      <c r="Q348" s="52" t="b">
        <v>0</v>
      </c>
      <c r="R348" s="52">
        <v>47660.913</v>
      </c>
      <c r="S348" s="52" t="b">
        <v>1</v>
      </c>
      <c r="T348" s="52">
        <v>3</v>
      </c>
      <c r="U348" s="52">
        <v>16</v>
      </c>
    </row>
    <row r="349" spans="1:21" x14ac:dyDescent="0.25">
      <c r="A349" s="52">
        <v>77</v>
      </c>
      <c r="B349" s="52" t="s">
        <v>143</v>
      </c>
      <c r="C349" s="52" t="b">
        <v>0</v>
      </c>
      <c r="D349" s="52" t="s">
        <v>184</v>
      </c>
      <c r="E349" s="52" t="s">
        <v>45</v>
      </c>
      <c r="F349" s="52" t="s">
        <v>38</v>
      </c>
      <c r="G349" s="52" t="s">
        <v>10</v>
      </c>
      <c r="H349" s="52" t="s">
        <v>39</v>
      </c>
      <c r="I349" s="52" t="s">
        <v>40</v>
      </c>
      <c r="J349" s="52">
        <v>0</v>
      </c>
      <c r="K349" s="52" t="s">
        <v>160</v>
      </c>
      <c r="L349" s="52" t="s">
        <v>160</v>
      </c>
      <c r="M349" s="52" t="s">
        <v>41</v>
      </c>
      <c r="N349" s="52">
        <v>0</v>
      </c>
      <c r="O349" s="52" t="s">
        <v>160</v>
      </c>
      <c r="P349" s="52" t="s">
        <v>160</v>
      </c>
      <c r="Q349" s="52" t="b">
        <v>0</v>
      </c>
      <c r="R349" s="52">
        <v>161088.065</v>
      </c>
      <c r="S349" s="52" t="b">
        <v>1</v>
      </c>
      <c r="T349" s="52">
        <v>3</v>
      </c>
      <c r="U349" s="52">
        <v>49</v>
      </c>
    </row>
    <row r="350" spans="1:21" x14ac:dyDescent="0.25">
      <c r="A350" s="52">
        <v>78</v>
      </c>
      <c r="B350" s="52" t="s">
        <v>275</v>
      </c>
      <c r="C350" s="52" t="b">
        <v>0</v>
      </c>
      <c r="D350" s="52" t="s">
        <v>276</v>
      </c>
      <c r="E350" s="52" t="s">
        <v>37</v>
      </c>
      <c r="F350" s="52" t="s">
        <v>38</v>
      </c>
      <c r="G350" s="52" t="s">
        <v>11</v>
      </c>
      <c r="H350" s="52" t="s">
        <v>39</v>
      </c>
      <c r="I350" s="52" t="s">
        <v>47</v>
      </c>
      <c r="J350" s="52">
        <v>2.7777574271993877</v>
      </c>
      <c r="K350" s="52" t="s">
        <v>160</v>
      </c>
      <c r="L350" s="52" t="s">
        <v>160</v>
      </c>
      <c r="M350" s="52">
        <v>26.19213475280521</v>
      </c>
      <c r="N350" s="52">
        <v>0.97002696740415317</v>
      </c>
      <c r="O350" s="52">
        <v>26.19213475280521</v>
      </c>
      <c r="P350" s="52" t="s">
        <v>160</v>
      </c>
      <c r="Q350" s="52" t="b">
        <v>0</v>
      </c>
      <c r="R350" s="52">
        <v>74142.899999999994</v>
      </c>
      <c r="S350" s="52" t="b">
        <v>1</v>
      </c>
      <c r="T350" s="52">
        <v>3</v>
      </c>
      <c r="U350" s="52">
        <v>16</v>
      </c>
    </row>
    <row r="351" spans="1:21" x14ac:dyDescent="0.25">
      <c r="A351" s="52">
        <v>78</v>
      </c>
      <c r="B351" s="52" t="s">
        <v>275</v>
      </c>
      <c r="C351" s="52" t="b">
        <v>0</v>
      </c>
      <c r="D351" s="52" t="s">
        <v>276</v>
      </c>
      <c r="E351" s="52" t="s">
        <v>42</v>
      </c>
      <c r="F351" s="52" t="s">
        <v>38</v>
      </c>
      <c r="G351" s="52" t="s">
        <v>13</v>
      </c>
      <c r="H351" s="52" t="s">
        <v>39</v>
      </c>
      <c r="I351" s="52" t="s">
        <v>47</v>
      </c>
      <c r="J351" s="52">
        <v>0</v>
      </c>
      <c r="K351" s="52" t="s">
        <v>160</v>
      </c>
      <c r="L351" s="52" t="s">
        <v>160</v>
      </c>
      <c r="M351" s="52">
        <v>27.649556638840977</v>
      </c>
      <c r="N351" s="52">
        <v>0.92702904840842781</v>
      </c>
      <c r="O351" s="52">
        <v>27.649556638840977</v>
      </c>
      <c r="P351" s="52" t="s">
        <v>160</v>
      </c>
      <c r="Q351" s="52" t="b">
        <v>0</v>
      </c>
      <c r="R351" s="52">
        <v>46910.862999999998</v>
      </c>
      <c r="S351" s="52" t="b">
        <v>1</v>
      </c>
      <c r="T351" s="52">
        <v>3</v>
      </c>
      <c r="U351" s="52">
        <v>21</v>
      </c>
    </row>
    <row r="352" spans="1:21" x14ac:dyDescent="0.25">
      <c r="A352" s="52">
        <v>78</v>
      </c>
      <c r="B352" s="52" t="s">
        <v>275</v>
      </c>
      <c r="C352" s="52" t="b">
        <v>0</v>
      </c>
      <c r="D352" s="52" t="s">
        <v>276</v>
      </c>
      <c r="E352" s="52" t="s">
        <v>43</v>
      </c>
      <c r="F352" s="52" t="s">
        <v>38</v>
      </c>
      <c r="G352" s="52" t="s">
        <v>12</v>
      </c>
      <c r="H352" s="52" t="s">
        <v>39</v>
      </c>
      <c r="I352" s="52" t="s">
        <v>139</v>
      </c>
      <c r="J352" s="52">
        <v>0</v>
      </c>
      <c r="K352" s="52" t="s">
        <v>160</v>
      </c>
      <c r="L352" s="52" t="s">
        <v>160</v>
      </c>
      <c r="M352" s="52" t="s">
        <v>41</v>
      </c>
      <c r="N352" s="52">
        <v>0</v>
      </c>
      <c r="O352" s="52" t="s">
        <v>160</v>
      </c>
      <c r="P352" s="52" t="s">
        <v>160</v>
      </c>
      <c r="Q352" s="52" t="b">
        <v>0</v>
      </c>
      <c r="R352" s="52">
        <v>69932.437000000005</v>
      </c>
      <c r="S352" s="52" t="b">
        <v>1</v>
      </c>
      <c r="T352" s="52">
        <v>3</v>
      </c>
      <c r="U352" s="52">
        <v>49</v>
      </c>
    </row>
    <row r="353" spans="1:21" x14ac:dyDescent="0.25">
      <c r="A353" s="52">
        <v>78</v>
      </c>
      <c r="B353" s="52" t="s">
        <v>275</v>
      </c>
      <c r="C353" s="52" t="b">
        <v>0</v>
      </c>
      <c r="D353" s="52" t="s">
        <v>276</v>
      </c>
      <c r="E353" s="52" t="s">
        <v>44</v>
      </c>
      <c r="F353" s="52" t="s">
        <v>38</v>
      </c>
      <c r="G353" s="52" t="s">
        <v>14</v>
      </c>
      <c r="H353" s="52" t="s">
        <v>39</v>
      </c>
      <c r="I353" s="52" t="s">
        <v>47</v>
      </c>
      <c r="J353" s="52">
        <v>2.7002203685600414</v>
      </c>
      <c r="K353" s="52" t="s">
        <v>160</v>
      </c>
      <c r="L353" s="52" t="s">
        <v>160</v>
      </c>
      <c r="M353" s="52">
        <v>22.590111470160927</v>
      </c>
      <c r="N353" s="52">
        <v>0.91709339510588406</v>
      </c>
      <c r="O353" s="52">
        <v>22.590111470160927</v>
      </c>
      <c r="P353" s="52" t="s">
        <v>160</v>
      </c>
      <c r="Q353" s="52" t="b">
        <v>0</v>
      </c>
      <c r="R353" s="52">
        <v>47660.913</v>
      </c>
      <c r="S353" s="52" t="b">
        <v>1</v>
      </c>
      <c r="T353" s="52">
        <v>3</v>
      </c>
      <c r="U353" s="52">
        <v>15</v>
      </c>
    </row>
    <row r="354" spans="1:21" x14ac:dyDescent="0.25">
      <c r="A354" s="52">
        <v>78</v>
      </c>
      <c r="B354" s="52" t="s">
        <v>275</v>
      </c>
      <c r="C354" s="52" t="b">
        <v>0</v>
      </c>
      <c r="D354" s="52" t="s">
        <v>276</v>
      </c>
      <c r="E354" s="52" t="s">
        <v>45</v>
      </c>
      <c r="F354" s="52" t="s">
        <v>38</v>
      </c>
      <c r="G354" s="52" t="s">
        <v>10</v>
      </c>
      <c r="H354" s="52" t="s">
        <v>39</v>
      </c>
      <c r="I354" s="52" t="s">
        <v>139</v>
      </c>
      <c r="J354" s="52">
        <v>0</v>
      </c>
      <c r="K354" s="52" t="s">
        <v>160</v>
      </c>
      <c r="L354" s="52" t="s">
        <v>160</v>
      </c>
      <c r="M354" s="52" t="s">
        <v>41</v>
      </c>
      <c r="N354" s="52">
        <v>0</v>
      </c>
      <c r="O354" s="52" t="s">
        <v>160</v>
      </c>
      <c r="P354" s="52" t="s">
        <v>160</v>
      </c>
      <c r="Q354" s="52" t="b">
        <v>0</v>
      </c>
      <c r="R354" s="52">
        <v>161088.065</v>
      </c>
      <c r="S354" s="52" t="b">
        <v>1</v>
      </c>
      <c r="T354" s="52">
        <v>3</v>
      </c>
      <c r="U354" s="52">
        <v>49</v>
      </c>
    </row>
    <row r="355" spans="1:21" x14ac:dyDescent="0.25">
      <c r="A355" s="52">
        <v>79</v>
      </c>
      <c r="B355" s="52" t="s">
        <v>277</v>
      </c>
      <c r="C355" s="52" t="b">
        <v>0</v>
      </c>
      <c r="D355" s="52" t="s">
        <v>278</v>
      </c>
      <c r="E355" s="52" t="s">
        <v>37</v>
      </c>
      <c r="F355" s="52" t="s">
        <v>38</v>
      </c>
      <c r="G355" s="52" t="s">
        <v>11</v>
      </c>
      <c r="H355" s="52" t="s">
        <v>39</v>
      </c>
      <c r="I355" s="52" t="s">
        <v>47</v>
      </c>
      <c r="J355" s="52">
        <v>2.7564600015388026</v>
      </c>
      <c r="K355" s="52" t="s">
        <v>160</v>
      </c>
      <c r="L355" s="52" t="s">
        <v>160</v>
      </c>
      <c r="M355" s="52">
        <v>28.189198801714497</v>
      </c>
      <c r="N355" s="52">
        <v>0.96071024913766567</v>
      </c>
      <c r="O355" s="52">
        <v>28.189198801714497</v>
      </c>
      <c r="P355" s="52" t="s">
        <v>160</v>
      </c>
      <c r="Q355" s="52" t="b">
        <v>0</v>
      </c>
      <c r="R355" s="52">
        <v>74142.899999999994</v>
      </c>
      <c r="S355" s="52" t="b">
        <v>1</v>
      </c>
      <c r="T355" s="52">
        <v>3</v>
      </c>
      <c r="U355" s="52">
        <v>21</v>
      </c>
    </row>
    <row r="356" spans="1:21" x14ac:dyDescent="0.25">
      <c r="A356" s="52">
        <v>79</v>
      </c>
      <c r="B356" s="52" t="s">
        <v>277</v>
      </c>
      <c r="C356" s="52" t="b">
        <v>0</v>
      </c>
      <c r="D356" s="52" t="s">
        <v>278</v>
      </c>
      <c r="E356" s="52" t="s">
        <v>42</v>
      </c>
      <c r="F356" s="52" t="s">
        <v>38</v>
      </c>
      <c r="G356" s="52" t="s">
        <v>13</v>
      </c>
      <c r="H356" s="52" t="s">
        <v>39</v>
      </c>
      <c r="I356" s="52" t="s">
        <v>47</v>
      </c>
      <c r="J356" s="52">
        <v>2.7300649584522172</v>
      </c>
      <c r="K356" s="52" t="s">
        <v>160</v>
      </c>
      <c r="L356" s="52" t="s">
        <v>160</v>
      </c>
      <c r="M356" s="52">
        <v>29.017570763090397</v>
      </c>
      <c r="N356" s="52">
        <v>0.90386325513638444</v>
      </c>
      <c r="O356" s="52">
        <v>29.017570763090397</v>
      </c>
      <c r="P356" s="52" t="s">
        <v>160</v>
      </c>
      <c r="Q356" s="52" t="b">
        <v>0</v>
      </c>
      <c r="R356" s="52">
        <v>46910.862999999998</v>
      </c>
      <c r="S356" s="52" t="b">
        <v>1</v>
      </c>
      <c r="T356" s="52">
        <v>3</v>
      </c>
      <c r="U356" s="52">
        <v>22</v>
      </c>
    </row>
    <row r="357" spans="1:21" x14ac:dyDescent="0.25">
      <c r="A357" s="52">
        <v>79</v>
      </c>
      <c r="B357" s="52" t="s">
        <v>277</v>
      </c>
      <c r="C357" s="52" t="b">
        <v>0</v>
      </c>
      <c r="D357" s="52" t="s">
        <v>278</v>
      </c>
      <c r="E357" s="52" t="s">
        <v>43</v>
      </c>
      <c r="F357" s="52" t="s">
        <v>38</v>
      </c>
      <c r="G357" s="52" t="s">
        <v>12</v>
      </c>
      <c r="H357" s="52" t="s">
        <v>39</v>
      </c>
      <c r="I357" s="52" t="s">
        <v>139</v>
      </c>
      <c r="J357" s="52">
        <v>0</v>
      </c>
      <c r="K357" s="52" t="s">
        <v>160</v>
      </c>
      <c r="L357" s="52" t="s">
        <v>160</v>
      </c>
      <c r="M357" s="52" t="s">
        <v>41</v>
      </c>
      <c r="N357" s="52">
        <v>0</v>
      </c>
      <c r="O357" s="52" t="s">
        <v>160</v>
      </c>
      <c r="P357" s="52" t="s">
        <v>160</v>
      </c>
      <c r="Q357" s="52" t="b">
        <v>0</v>
      </c>
      <c r="R357" s="52">
        <v>69932.437000000005</v>
      </c>
      <c r="S357" s="52" t="b">
        <v>1</v>
      </c>
      <c r="T357" s="52">
        <v>3</v>
      </c>
      <c r="U357" s="52">
        <v>49</v>
      </c>
    </row>
    <row r="358" spans="1:21" x14ac:dyDescent="0.25">
      <c r="A358" s="52">
        <v>79</v>
      </c>
      <c r="B358" s="52" t="s">
        <v>277</v>
      </c>
      <c r="C358" s="52" t="b">
        <v>0</v>
      </c>
      <c r="D358" s="52" t="s">
        <v>278</v>
      </c>
      <c r="E358" s="52" t="s">
        <v>44</v>
      </c>
      <c r="F358" s="52" t="s">
        <v>38</v>
      </c>
      <c r="G358" s="52" t="s">
        <v>14</v>
      </c>
      <c r="H358" s="52" t="s">
        <v>39</v>
      </c>
      <c r="I358" s="52" t="s">
        <v>47</v>
      </c>
      <c r="J358" s="52">
        <v>2.6929031701541373</v>
      </c>
      <c r="K358" s="52" t="s">
        <v>160</v>
      </c>
      <c r="L358" s="52" t="s">
        <v>160</v>
      </c>
      <c r="M358" s="52">
        <v>23.868981289997819</v>
      </c>
      <c r="N358" s="52">
        <v>0.9472436667484464</v>
      </c>
      <c r="O358" s="52">
        <v>23.868981289997819</v>
      </c>
      <c r="P358" s="52" t="s">
        <v>160</v>
      </c>
      <c r="Q358" s="52" t="b">
        <v>0</v>
      </c>
      <c r="R358" s="52">
        <v>47660.913</v>
      </c>
      <c r="S358" s="52" t="b">
        <v>1</v>
      </c>
      <c r="T358" s="52">
        <v>3</v>
      </c>
      <c r="U358" s="52">
        <v>17</v>
      </c>
    </row>
    <row r="359" spans="1:21" x14ac:dyDescent="0.25">
      <c r="A359" s="52">
        <v>79</v>
      </c>
      <c r="B359" s="52" t="s">
        <v>277</v>
      </c>
      <c r="C359" s="52" t="b">
        <v>0</v>
      </c>
      <c r="D359" s="52" t="s">
        <v>278</v>
      </c>
      <c r="E359" s="52" t="s">
        <v>45</v>
      </c>
      <c r="F359" s="52" t="s">
        <v>38</v>
      </c>
      <c r="G359" s="52" t="s">
        <v>10</v>
      </c>
      <c r="H359" s="52" t="s">
        <v>39</v>
      </c>
      <c r="I359" s="52" t="s">
        <v>139</v>
      </c>
      <c r="J359" s="52">
        <v>0</v>
      </c>
      <c r="K359" s="52" t="s">
        <v>160</v>
      </c>
      <c r="L359" s="52" t="s">
        <v>160</v>
      </c>
      <c r="M359" s="52" t="s">
        <v>41</v>
      </c>
      <c r="N359" s="52">
        <v>0</v>
      </c>
      <c r="O359" s="52" t="s">
        <v>160</v>
      </c>
      <c r="P359" s="52" t="s">
        <v>160</v>
      </c>
      <c r="Q359" s="52" t="b">
        <v>0</v>
      </c>
      <c r="R359" s="52">
        <v>161088.065</v>
      </c>
      <c r="S359" s="52" t="b">
        <v>1</v>
      </c>
      <c r="T359" s="52">
        <v>3</v>
      </c>
      <c r="U359" s="52">
        <v>49</v>
      </c>
    </row>
    <row r="360" spans="1:21" x14ac:dyDescent="0.25">
      <c r="A360" s="52">
        <v>80</v>
      </c>
      <c r="B360" s="52" t="s">
        <v>279</v>
      </c>
      <c r="C360" s="52" t="b">
        <v>0</v>
      </c>
      <c r="D360" s="52" t="s">
        <v>280</v>
      </c>
      <c r="E360" s="52" t="s">
        <v>37</v>
      </c>
      <c r="F360" s="52" t="s">
        <v>38</v>
      </c>
      <c r="G360" s="52" t="s">
        <v>11</v>
      </c>
      <c r="H360" s="52" t="s">
        <v>39</v>
      </c>
      <c r="I360" s="52" t="s">
        <v>47</v>
      </c>
      <c r="J360" s="52">
        <v>2.7711070379064968</v>
      </c>
      <c r="K360" s="52" t="s">
        <v>160</v>
      </c>
      <c r="L360" s="52" t="s">
        <v>160</v>
      </c>
      <c r="M360" s="52">
        <v>25.991437871454799</v>
      </c>
      <c r="N360" s="52">
        <v>0.98108142101529172</v>
      </c>
      <c r="O360" s="52">
        <v>25.991437871454799</v>
      </c>
      <c r="P360" s="52" t="s">
        <v>160</v>
      </c>
      <c r="Q360" s="52" t="b">
        <v>0</v>
      </c>
      <c r="R360" s="52">
        <v>74142.899999999994</v>
      </c>
      <c r="S360" s="52" t="b">
        <v>1</v>
      </c>
      <c r="T360" s="52">
        <v>3</v>
      </c>
      <c r="U360" s="52">
        <v>17</v>
      </c>
    </row>
    <row r="361" spans="1:21" x14ac:dyDescent="0.25">
      <c r="A361" s="52">
        <v>80</v>
      </c>
      <c r="B361" s="52" t="s">
        <v>279</v>
      </c>
      <c r="C361" s="52" t="b">
        <v>0</v>
      </c>
      <c r="D361" s="52" t="s">
        <v>280</v>
      </c>
      <c r="E361" s="52" t="s">
        <v>42</v>
      </c>
      <c r="F361" s="52" t="s">
        <v>38</v>
      </c>
      <c r="G361" s="52" t="s">
        <v>13</v>
      </c>
      <c r="H361" s="52" t="s">
        <v>39</v>
      </c>
      <c r="I361" s="52" t="s">
        <v>47</v>
      </c>
      <c r="J361" s="52">
        <v>0</v>
      </c>
      <c r="K361" s="52" t="s">
        <v>160</v>
      </c>
      <c r="L361" s="52" t="s">
        <v>160</v>
      </c>
      <c r="M361" s="52">
        <v>28.443013582175197</v>
      </c>
      <c r="N361" s="52">
        <v>0.95730652531085292</v>
      </c>
      <c r="O361" s="52">
        <v>28.443013582175197</v>
      </c>
      <c r="P361" s="52" t="s">
        <v>160</v>
      </c>
      <c r="Q361" s="52" t="b">
        <v>0</v>
      </c>
      <c r="R361" s="52">
        <v>46910.862999999998</v>
      </c>
      <c r="S361" s="52" t="b">
        <v>1</v>
      </c>
      <c r="T361" s="52">
        <v>3</v>
      </c>
      <c r="U361" s="52">
        <v>22</v>
      </c>
    </row>
    <row r="362" spans="1:21" x14ac:dyDescent="0.25">
      <c r="A362" s="52">
        <v>80</v>
      </c>
      <c r="B362" s="52" t="s">
        <v>279</v>
      </c>
      <c r="C362" s="52" t="b">
        <v>0</v>
      </c>
      <c r="D362" s="52" t="s">
        <v>280</v>
      </c>
      <c r="E362" s="52" t="s">
        <v>43</v>
      </c>
      <c r="F362" s="52" t="s">
        <v>38</v>
      </c>
      <c r="G362" s="52" t="s">
        <v>12</v>
      </c>
      <c r="H362" s="52" t="s">
        <v>39</v>
      </c>
      <c r="I362" s="52" t="s">
        <v>139</v>
      </c>
      <c r="J362" s="52">
        <v>0</v>
      </c>
      <c r="K362" s="52" t="s">
        <v>160</v>
      </c>
      <c r="L362" s="52" t="s">
        <v>160</v>
      </c>
      <c r="M362" s="52" t="s">
        <v>41</v>
      </c>
      <c r="N362" s="52">
        <v>0</v>
      </c>
      <c r="O362" s="52" t="s">
        <v>160</v>
      </c>
      <c r="P362" s="52" t="s">
        <v>160</v>
      </c>
      <c r="Q362" s="52" t="b">
        <v>0</v>
      </c>
      <c r="R362" s="52">
        <v>69932.437000000005</v>
      </c>
      <c r="S362" s="52" t="b">
        <v>1</v>
      </c>
      <c r="T362" s="52">
        <v>3</v>
      </c>
      <c r="U362" s="52">
        <v>49</v>
      </c>
    </row>
    <row r="363" spans="1:21" x14ac:dyDescent="0.25">
      <c r="A363" s="52">
        <v>80</v>
      </c>
      <c r="B363" s="52" t="s">
        <v>279</v>
      </c>
      <c r="C363" s="52" t="b">
        <v>0</v>
      </c>
      <c r="D363" s="52" t="s">
        <v>280</v>
      </c>
      <c r="E363" s="52" t="s">
        <v>44</v>
      </c>
      <c r="F363" s="52" t="s">
        <v>38</v>
      </c>
      <c r="G363" s="52" t="s">
        <v>14</v>
      </c>
      <c r="H363" s="52" t="s">
        <v>39</v>
      </c>
      <c r="I363" s="52" t="s">
        <v>47</v>
      </c>
      <c r="J363" s="52">
        <v>2.6791280815838072</v>
      </c>
      <c r="K363" s="52" t="s">
        <v>160</v>
      </c>
      <c r="L363" s="52" t="s">
        <v>160</v>
      </c>
      <c r="M363" s="52">
        <v>24.254688367174317</v>
      </c>
      <c r="N363" s="52">
        <v>0.94464281628135116</v>
      </c>
      <c r="O363" s="52">
        <v>24.254688367174317</v>
      </c>
      <c r="P363" s="52" t="s">
        <v>160</v>
      </c>
      <c r="Q363" s="52" t="b">
        <v>0</v>
      </c>
      <c r="R363" s="52">
        <v>47660.913</v>
      </c>
      <c r="S363" s="52" t="b">
        <v>1</v>
      </c>
      <c r="T363" s="52">
        <v>3</v>
      </c>
      <c r="U363" s="52">
        <v>17</v>
      </c>
    </row>
    <row r="364" spans="1:21" x14ac:dyDescent="0.25">
      <c r="A364" s="52">
        <v>80</v>
      </c>
      <c r="B364" s="52" t="s">
        <v>279</v>
      </c>
      <c r="C364" s="52" t="b">
        <v>0</v>
      </c>
      <c r="D364" s="52" t="s">
        <v>280</v>
      </c>
      <c r="E364" s="52" t="s">
        <v>45</v>
      </c>
      <c r="F364" s="52" t="s">
        <v>38</v>
      </c>
      <c r="G364" s="52" t="s">
        <v>10</v>
      </c>
      <c r="H364" s="52" t="s">
        <v>39</v>
      </c>
      <c r="I364" s="52" t="s">
        <v>139</v>
      </c>
      <c r="J364" s="52">
        <v>0</v>
      </c>
      <c r="K364" s="52" t="s">
        <v>160</v>
      </c>
      <c r="L364" s="52" t="s">
        <v>160</v>
      </c>
      <c r="M364" s="52" t="s">
        <v>41</v>
      </c>
      <c r="N364" s="52">
        <v>0</v>
      </c>
      <c r="O364" s="52" t="s">
        <v>160</v>
      </c>
      <c r="P364" s="52" t="s">
        <v>160</v>
      </c>
      <c r="Q364" s="52" t="b">
        <v>0</v>
      </c>
      <c r="R364" s="52">
        <v>161088.065</v>
      </c>
      <c r="S364" s="52" t="b">
        <v>1</v>
      </c>
      <c r="T364" s="52">
        <v>3</v>
      </c>
      <c r="U364" s="52">
        <v>49</v>
      </c>
    </row>
    <row r="365" spans="1:21" x14ac:dyDescent="0.25">
      <c r="A365" s="52">
        <v>81</v>
      </c>
      <c r="B365" s="52" t="s">
        <v>281</v>
      </c>
      <c r="C365" s="52" t="b">
        <v>0</v>
      </c>
      <c r="D365" s="52" t="s">
        <v>282</v>
      </c>
      <c r="E365" s="52" t="s">
        <v>37</v>
      </c>
      <c r="F365" s="52" t="s">
        <v>38</v>
      </c>
      <c r="G365" s="52" t="s">
        <v>11</v>
      </c>
      <c r="H365" s="52" t="s">
        <v>39</v>
      </c>
      <c r="I365" s="52" t="s">
        <v>47</v>
      </c>
      <c r="J365" s="52">
        <v>2.761120488607316</v>
      </c>
      <c r="K365" s="52" t="s">
        <v>160</v>
      </c>
      <c r="L365" s="52" t="s">
        <v>160</v>
      </c>
      <c r="M365" s="52">
        <v>25.966669641271899</v>
      </c>
      <c r="N365" s="52">
        <v>0.98183094576334329</v>
      </c>
      <c r="O365" s="52">
        <v>25.966669641271899</v>
      </c>
      <c r="P365" s="52" t="s">
        <v>160</v>
      </c>
      <c r="Q365" s="52" t="b">
        <v>0</v>
      </c>
      <c r="R365" s="52">
        <v>74142.899999999994</v>
      </c>
      <c r="S365" s="52" t="b">
        <v>1</v>
      </c>
      <c r="T365" s="52">
        <v>3</v>
      </c>
      <c r="U365" s="52">
        <v>19</v>
      </c>
    </row>
    <row r="366" spans="1:21" x14ac:dyDescent="0.25">
      <c r="A366" s="52">
        <v>81</v>
      </c>
      <c r="B366" s="52" t="s">
        <v>281</v>
      </c>
      <c r="C366" s="52" t="b">
        <v>0</v>
      </c>
      <c r="D366" s="52" t="s">
        <v>282</v>
      </c>
      <c r="E366" s="52" t="s">
        <v>42</v>
      </c>
      <c r="F366" s="52" t="s">
        <v>38</v>
      </c>
      <c r="G366" s="52" t="s">
        <v>13</v>
      </c>
      <c r="H366" s="52" t="s">
        <v>39</v>
      </c>
      <c r="I366" s="52" t="s">
        <v>47</v>
      </c>
      <c r="J366" s="52">
        <v>0</v>
      </c>
      <c r="K366" s="52" t="s">
        <v>160</v>
      </c>
      <c r="L366" s="52" t="s">
        <v>160</v>
      </c>
      <c r="M366" s="52">
        <v>27.638955207761562</v>
      </c>
      <c r="N366" s="52">
        <v>0.94317566132115793</v>
      </c>
      <c r="O366" s="52">
        <v>27.638955207761562</v>
      </c>
      <c r="P366" s="52" t="s">
        <v>160</v>
      </c>
      <c r="Q366" s="52" t="b">
        <v>0</v>
      </c>
      <c r="R366" s="52">
        <v>46910.862999999998</v>
      </c>
      <c r="S366" s="52" t="b">
        <v>1</v>
      </c>
      <c r="T366" s="52">
        <v>3</v>
      </c>
      <c r="U366" s="52">
        <v>21</v>
      </c>
    </row>
    <row r="367" spans="1:21" x14ac:dyDescent="0.25">
      <c r="A367" s="52">
        <v>81</v>
      </c>
      <c r="B367" s="52" t="s">
        <v>281</v>
      </c>
      <c r="C367" s="52" t="b">
        <v>0</v>
      </c>
      <c r="D367" s="52" t="s">
        <v>282</v>
      </c>
      <c r="E367" s="52" t="s">
        <v>43</v>
      </c>
      <c r="F367" s="52" t="s">
        <v>38</v>
      </c>
      <c r="G367" s="52" t="s">
        <v>12</v>
      </c>
      <c r="H367" s="52" t="s">
        <v>39</v>
      </c>
      <c r="I367" s="52" t="s">
        <v>139</v>
      </c>
      <c r="J367" s="52">
        <v>0</v>
      </c>
      <c r="K367" s="52" t="s">
        <v>160</v>
      </c>
      <c r="L367" s="52" t="s">
        <v>160</v>
      </c>
      <c r="M367" s="52" t="s">
        <v>41</v>
      </c>
      <c r="N367" s="52">
        <v>0</v>
      </c>
      <c r="O367" s="52" t="s">
        <v>160</v>
      </c>
      <c r="P367" s="52" t="s">
        <v>160</v>
      </c>
      <c r="Q367" s="52" t="b">
        <v>0</v>
      </c>
      <c r="R367" s="52">
        <v>69932.437000000005</v>
      </c>
      <c r="S367" s="52" t="b">
        <v>1</v>
      </c>
      <c r="T367" s="52">
        <v>3</v>
      </c>
      <c r="U367" s="52">
        <v>49</v>
      </c>
    </row>
    <row r="368" spans="1:21" x14ac:dyDescent="0.25">
      <c r="A368" s="52">
        <v>81</v>
      </c>
      <c r="B368" s="52" t="s">
        <v>281</v>
      </c>
      <c r="C368" s="52" t="b">
        <v>0</v>
      </c>
      <c r="D368" s="52" t="s">
        <v>282</v>
      </c>
      <c r="E368" s="52" t="s">
        <v>44</v>
      </c>
      <c r="F368" s="52" t="s">
        <v>38</v>
      </c>
      <c r="G368" s="52" t="s">
        <v>14</v>
      </c>
      <c r="H368" s="52" t="s">
        <v>39</v>
      </c>
      <c r="I368" s="52" t="s">
        <v>47</v>
      </c>
      <c r="J368" s="52">
        <v>2.6717072204916423</v>
      </c>
      <c r="K368" s="52" t="s">
        <v>160</v>
      </c>
      <c r="L368" s="52" t="s">
        <v>160</v>
      </c>
      <c r="M368" s="52">
        <v>23.97984570145011</v>
      </c>
      <c r="N368" s="52">
        <v>0.92303417452720349</v>
      </c>
      <c r="O368" s="52">
        <v>23.97984570145011</v>
      </c>
      <c r="P368" s="52" t="s">
        <v>160</v>
      </c>
      <c r="Q368" s="52" t="b">
        <v>0</v>
      </c>
      <c r="R368" s="52">
        <v>47660.913</v>
      </c>
      <c r="S368" s="52" t="b">
        <v>1</v>
      </c>
      <c r="T368" s="52">
        <v>3</v>
      </c>
      <c r="U368" s="52">
        <v>17</v>
      </c>
    </row>
    <row r="369" spans="1:21" x14ac:dyDescent="0.25">
      <c r="A369" s="52">
        <v>81</v>
      </c>
      <c r="B369" s="52" t="s">
        <v>281</v>
      </c>
      <c r="C369" s="52" t="b">
        <v>0</v>
      </c>
      <c r="D369" s="52" t="s">
        <v>282</v>
      </c>
      <c r="E369" s="52" t="s">
        <v>45</v>
      </c>
      <c r="F369" s="52" t="s">
        <v>38</v>
      </c>
      <c r="G369" s="52" t="s">
        <v>10</v>
      </c>
      <c r="H369" s="52" t="s">
        <v>39</v>
      </c>
      <c r="I369" s="52" t="s">
        <v>139</v>
      </c>
      <c r="J369" s="52">
        <v>0</v>
      </c>
      <c r="K369" s="52" t="s">
        <v>160</v>
      </c>
      <c r="L369" s="52" t="s">
        <v>160</v>
      </c>
      <c r="M369" s="52" t="s">
        <v>41</v>
      </c>
      <c r="N369" s="52">
        <v>0</v>
      </c>
      <c r="O369" s="52" t="s">
        <v>160</v>
      </c>
      <c r="P369" s="52" t="s">
        <v>160</v>
      </c>
      <c r="Q369" s="52" t="b">
        <v>0</v>
      </c>
      <c r="R369" s="52">
        <v>161088.065</v>
      </c>
      <c r="S369" s="52" t="b">
        <v>1</v>
      </c>
      <c r="T369" s="52">
        <v>3</v>
      </c>
      <c r="U369" s="52">
        <v>49</v>
      </c>
    </row>
    <row r="370" spans="1:21" x14ac:dyDescent="0.25">
      <c r="A370" s="52">
        <v>82</v>
      </c>
      <c r="B370" s="52" t="s">
        <v>195</v>
      </c>
      <c r="C370" s="52" t="b">
        <v>0</v>
      </c>
      <c r="D370" s="52" t="s">
        <v>283</v>
      </c>
      <c r="E370" s="52" t="s">
        <v>37</v>
      </c>
      <c r="F370" s="52" t="s">
        <v>38</v>
      </c>
      <c r="G370" s="52" t="s">
        <v>11</v>
      </c>
      <c r="H370" s="52" t="s">
        <v>39</v>
      </c>
      <c r="I370" s="52" t="s">
        <v>47</v>
      </c>
      <c r="J370" s="52">
        <v>2.7533767399586182</v>
      </c>
      <c r="K370" s="52" t="s">
        <v>160</v>
      </c>
      <c r="L370" s="52" t="s">
        <v>160</v>
      </c>
      <c r="M370" s="52">
        <v>27.760354379386726</v>
      </c>
      <c r="N370" s="52">
        <v>0.95222754505702756</v>
      </c>
      <c r="O370" s="52">
        <v>27.760354379386726</v>
      </c>
      <c r="P370" s="52" t="s">
        <v>160</v>
      </c>
      <c r="Q370" s="52" t="b">
        <v>0</v>
      </c>
      <c r="R370" s="52">
        <v>74142.899999999994</v>
      </c>
      <c r="S370" s="52" t="b">
        <v>1</v>
      </c>
      <c r="T370" s="52">
        <v>3</v>
      </c>
      <c r="U370" s="52">
        <v>19</v>
      </c>
    </row>
    <row r="371" spans="1:21" x14ac:dyDescent="0.25">
      <c r="A371" s="52">
        <v>82</v>
      </c>
      <c r="B371" s="52" t="s">
        <v>195</v>
      </c>
      <c r="C371" s="52" t="b">
        <v>0</v>
      </c>
      <c r="D371" s="52" t="s">
        <v>283</v>
      </c>
      <c r="E371" s="52" t="s">
        <v>42</v>
      </c>
      <c r="F371" s="52" t="s">
        <v>38</v>
      </c>
      <c r="G371" s="52" t="s">
        <v>13</v>
      </c>
      <c r="H371" s="52" t="s">
        <v>39</v>
      </c>
      <c r="I371" s="52" t="s">
        <v>47</v>
      </c>
      <c r="J371" s="52">
        <v>2.719454525075268</v>
      </c>
      <c r="K371" s="52" t="s">
        <v>160</v>
      </c>
      <c r="L371" s="52" t="s">
        <v>160</v>
      </c>
      <c r="M371" s="52">
        <v>29.427577805254053</v>
      </c>
      <c r="N371" s="52">
        <v>0.850924929519285</v>
      </c>
      <c r="O371" s="52">
        <v>29.427577805254053</v>
      </c>
      <c r="P371" s="52" t="s">
        <v>160</v>
      </c>
      <c r="Q371" s="52" t="b">
        <v>0</v>
      </c>
      <c r="R371" s="52">
        <v>46910.862999999998</v>
      </c>
      <c r="S371" s="52" t="b">
        <v>1</v>
      </c>
      <c r="T371" s="52">
        <v>3</v>
      </c>
      <c r="U371" s="52">
        <v>23</v>
      </c>
    </row>
    <row r="372" spans="1:21" x14ac:dyDescent="0.25">
      <c r="A372" s="52">
        <v>82</v>
      </c>
      <c r="B372" s="52" t="s">
        <v>195</v>
      </c>
      <c r="C372" s="52" t="b">
        <v>0</v>
      </c>
      <c r="D372" s="52" t="s">
        <v>283</v>
      </c>
      <c r="E372" s="52" t="s">
        <v>43</v>
      </c>
      <c r="F372" s="52" t="s">
        <v>38</v>
      </c>
      <c r="G372" s="52" t="s">
        <v>12</v>
      </c>
      <c r="H372" s="52" t="s">
        <v>39</v>
      </c>
      <c r="I372" s="52" t="s">
        <v>40</v>
      </c>
      <c r="J372" s="52">
        <v>0</v>
      </c>
      <c r="K372" s="52" t="s">
        <v>160</v>
      </c>
      <c r="L372" s="52" t="s">
        <v>160</v>
      </c>
      <c r="M372" s="52" t="s">
        <v>41</v>
      </c>
      <c r="N372" s="52">
        <v>0</v>
      </c>
      <c r="O372" s="52" t="s">
        <v>160</v>
      </c>
      <c r="P372" s="52" t="s">
        <v>160</v>
      </c>
      <c r="Q372" s="52" t="b">
        <v>0</v>
      </c>
      <c r="R372" s="52">
        <v>69932.437000000005</v>
      </c>
      <c r="S372" s="52" t="b">
        <v>1</v>
      </c>
      <c r="T372" s="52">
        <v>3</v>
      </c>
      <c r="U372" s="52">
        <v>49</v>
      </c>
    </row>
    <row r="373" spans="1:21" x14ac:dyDescent="0.25">
      <c r="A373" s="52">
        <v>82</v>
      </c>
      <c r="B373" s="52" t="s">
        <v>195</v>
      </c>
      <c r="C373" s="52" t="b">
        <v>0</v>
      </c>
      <c r="D373" s="52" t="s">
        <v>283</v>
      </c>
      <c r="E373" s="52" t="s">
        <v>44</v>
      </c>
      <c r="F373" s="52" t="s">
        <v>38</v>
      </c>
      <c r="G373" s="52" t="s">
        <v>14</v>
      </c>
      <c r="H373" s="52" t="s">
        <v>39</v>
      </c>
      <c r="I373" s="52" t="s">
        <v>47</v>
      </c>
      <c r="J373" s="52">
        <v>2.6392982489705856</v>
      </c>
      <c r="K373" s="52" t="s">
        <v>160</v>
      </c>
      <c r="L373" s="52" t="s">
        <v>160</v>
      </c>
      <c r="M373" s="52">
        <v>25.749424591796441</v>
      </c>
      <c r="N373" s="52">
        <v>0.78571859588909121</v>
      </c>
      <c r="O373" s="52">
        <v>25.749424591796441</v>
      </c>
      <c r="P373" s="52" t="s">
        <v>160</v>
      </c>
      <c r="Q373" s="52" t="b">
        <v>0</v>
      </c>
      <c r="R373" s="52">
        <v>47660.913</v>
      </c>
      <c r="S373" s="52" t="b">
        <v>1</v>
      </c>
      <c r="T373" s="52">
        <v>3</v>
      </c>
      <c r="U373" s="52">
        <v>18</v>
      </c>
    </row>
    <row r="374" spans="1:21" x14ac:dyDescent="0.25">
      <c r="A374" s="52">
        <v>82</v>
      </c>
      <c r="B374" s="52" t="s">
        <v>195</v>
      </c>
      <c r="C374" s="52" t="b">
        <v>0</v>
      </c>
      <c r="D374" s="52" t="s">
        <v>283</v>
      </c>
      <c r="E374" s="52" t="s">
        <v>45</v>
      </c>
      <c r="F374" s="52" t="s">
        <v>38</v>
      </c>
      <c r="G374" s="52" t="s">
        <v>10</v>
      </c>
      <c r="H374" s="52" t="s">
        <v>39</v>
      </c>
      <c r="I374" s="52" t="s">
        <v>40</v>
      </c>
      <c r="J374" s="52">
        <v>0</v>
      </c>
      <c r="K374" s="52" t="s">
        <v>160</v>
      </c>
      <c r="L374" s="52" t="s">
        <v>160</v>
      </c>
      <c r="M374" s="52" t="s">
        <v>41</v>
      </c>
      <c r="N374" s="52">
        <v>0</v>
      </c>
      <c r="O374" s="52" t="s">
        <v>160</v>
      </c>
      <c r="P374" s="52" t="s">
        <v>160</v>
      </c>
      <c r="Q374" s="52" t="b">
        <v>0</v>
      </c>
      <c r="R374" s="52">
        <v>161088.065</v>
      </c>
      <c r="S374" s="52" t="b">
        <v>1</v>
      </c>
      <c r="T374" s="52">
        <v>3</v>
      </c>
      <c r="U374" s="52">
        <v>49</v>
      </c>
    </row>
    <row r="375" spans="1:21" x14ac:dyDescent="0.25">
      <c r="A375" s="52">
        <v>85</v>
      </c>
      <c r="B375" s="52" t="s">
        <v>144</v>
      </c>
      <c r="C375" s="52" t="b">
        <v>0</v>
      </c>
      <c r="D375" s="52" t="s">
        <v>185</v>
      </c>
      <c r="E375" s="52" t="s">
        <v>37</v>
      </c>
      <c r="F375" s="52" t="s">
        <v>38</v>
      </c>
      <c r="G375" s="52" t="s">
        <v>11</v>
      </c>
      <c r="H375" s="52" t="s">
        <v>39</v>
      </c>
      <c r="I375" s="52" t="s">
        <v>47</v>
      </c>
      <c r="J375" s="52">
        <v>2.7660554890246014</v>
      </c>
      <c r="K375" s="52" t="s">
        <v>160</v>
      </c>
      <c r="L375" s="52" t="s">
        <v>160</v>
      </c>
      <c r="M375" s="52">
        <v>30.450712503751255</v>
      </c>
      <c r="N375" s="52">
        <v>0.97063611791944815</v>
      </c>
      <c r="O375" s="52">
        <v>30.450712503751255</v>
      </c>
      <c r="P375" s="52" t="s">
        <v>160</v>
      </c>
      <c r="Q375" s="52" t="b">
        <v>0</v>
      </c>
      <c r="R375" s="52">
        <v>74142.899999999994</v>
      </c>
      <c r="S375" s="52" t="b">
        <v>1</v>
      </c>
      <c r="T375" s="52">
        <v>3</v>
      </c>
      <c r="U375" s="52">
        <v>22</v>
      </c>
    </row>
    <row r="376" spans="1:21" x14ac:dyDescent="0.25">
      <c r="A376" s="52">
        <v>85</v>
      </c>
      <c r="B376" s="52" t="s">
        <v>144</v>
      </c>
      <c r="C376" s="52" t="b">
        <v>0</v>
      </c>
      <c r="D376" s="52" t="s">
        <v>185</v>
      </c>
      <c r="E376" s="52" t="s">
        <v>42</v>
      </c>
      <c r="F376" s="52" t="s">
        <v>38</v>
      </c>
      <c r="G376" s="52" t="s">
        <v>13</v>
      </c>
      <c r="H376" s="52" t="s">
        <v>39</v>
      </c>
      <c r="I376" s="52" t="s">
        <v>47</v>
      </c>
      <c r="J376" s="52">
        <v>2.6251208518440503</v>
      </c>
      <c r="K376" s="52" t="s">
        <v>160</v>
      </c>
      <c r="L376" s="52" t="s">
        <v>160</v>
      </c>
      <c r="M376" s="52">
        <v>32.316559460749644</v>
      </c>
      <c r="N376" s="52">
        <v>0.85876852750856003</v>
      </c>
      <c r="O376" s="52">
        <v>32.316559460749644</v>
      </c>
      <c r="P376" s="52" t="s">
        <v>160</v>
      </c>
      <c r="Q376" s="52" t="b">
        <v>0</v>
      </c>
      <c r="R376" s="52">
        <v>46910.862999999998</v>
      </c>
      <c r="S376" s="52" t="b">
        <v>1</v>
      </c>
      <c r="T376" s="52">
        <v>3</v>
      </c>
      <c r="U376" s="52">
        <v>23</v>
      </c>
    </row>
    <row r="377" spans="1:21" x14ac:dyDescent="0.25">
      <c r="A377" s="52">
        <v>85</v>
      </c>
      <c r="B377" s="52" t="s">
        <v>144</v>
      </c>
      <c r="C377" s="52" t="b">
        <v>0</v>
      </c>
      <c r="D377" s="52" t="s">
        <v>185</v>
      </c>
      <c r="E377" s="52" t="s">
        <v>43</v>
      </c>
      <c r="F377" s="52" t="s">
        <v>38</v>
      </c>
      <c r="G377" s="52" t="s">
        <v>12</v>
      </c>
      <c r="H377" s="52" t="s">
        <v>39</v>
      </c>
      <c r="I377" s="52" t="s">
        <v>40</v>
      </c>
      <c r="J377" s="52">
        <v>0</v>
      </c>
      <c r="K377" s="52" t="s">
        <v>160</v>
      </c>
      <c r="L377" s="52" t="s">
        <v>160</v>
      </c>
      <c r="M377" s="52" t="s">
        <v>41</v>
      </c>
      <c r="N377" s="52">
        <v>0</v>
      </c>
      <c r="O377" s="52" t="s">
        <v>160</v>
      </c>
      <c r="P377" s="52" t="s">
        <v>160</v>
      </c>
      <c r="Q377" s="52" t="b">
        <v>0</v>
      </c>
      <c r="R377" s="52">
        <v>69932.437000000005</v>
      </c>
      <c r="S377" s="52" t="b">
        <v>1</v>
      </c>
      <c r="T377" s="52">
        <v>3</v>
      </c>
      <c r="U377" s="52">
        <v>49</v>
      </c>
    </row>
    <row r="378" spans="1:21" x14ac:dyDescent="0.25">
      <c r="A378" s="52">
        <v>85</v>
      </c>
      <c r="B378" s="52" t="s">
        <v>144</v>
      </c>
      <c r="C378" s="52" t="b">
        <v>0</v>
      </c>
      <c r="D378" s="52" t="s">
        <v>185</v>
      </c>
      <c r="E378" s="52" t="s">
        <v>44</v>
      </c>
      <c r="F378" s="52" t="s">
        <v>38</v>
      </c>
      <c r="G378" s="52" t="s">
        <v>14</v>
      </c>
      <c r="H378" s="52" t="s">
        <v>39</v>
      </c>
      <c r="I378" s="52" t="s">
        <v>47</v>
      </c>
      <c r="J378" s="52">
        <v>2.5769776603279508</v>
      </c>
      <c r="K378" s="52" t="s">
        <v>160</v>
      </c>
      <c r="L378" s="52" t="s">
        <v>160</v>
      </c>
      <c r="M378" s="52">
        <v>24.054937984245541</v>
      </c>
      <c r="N378" s="52">
        <v>0.94263685362499672</v>
      </c>
      <c r="O378" s="52">
        <v>24.054937984245541</v>
      </c>
      <c r="P378" s="52" t="s">
        <v>160</v>
      </c>
      <c r="Q378" s="52" t="b">
        <v>0</v>
      </c>
      <c r="R378" s="52">
        <v>47660.913</v>
      </c>
      <c r="S378" s="52" t="b">
        <v>1</v>
      </c>
      <c r="T378" s="52">
        <v>3</v>
      </c>
      <c r="U378" s="52">
        <v>17</v>
      </c>
    </row>
    <row r="379" spans="1:21" x14ac:dyDescent="0.25">
      <c r="A379" s="52">
        <v>85</v>
      </c>
      <c r="B379" s="52" t="s">
        <v>144</v>
      </c>
      <c r="C379" s="52" t="b">
        <v>0</v>
      </c>
      <c r="D379" s="52" t="s">
        <v>185</v>
      </c>
      <c r="E379" s="52" t="s">
        <v>45</v>
      </c>
      <c r="F379" s="52" t="s">
        <v>38</v>
      </c>
      <c r="G379" s="52" t="s">
        <v>10</v>
      </c>
      <c r="H379" s="52" t="s">
        <v>39</v>
      </c>
      <c r="I379" s="52" t="s">
        <v>139</v>
      </c>
      <c r="J379" s="52">
        <v>0</v>
      </c>
      <c r="K379" s="52" t="s">
        <v>160</v>
      </c>
      <c r="L379" s="52" t="s">
        <v>160</v>
      </c>
      <c r="M379" s="52" t="s">
        <v>41</v>
      </c>
      <c r="N379" s="52">
        <v>0</v>
      </c>
      <c r="O379" s="52" t="s">
        <v>160</v>
      </c>
      <c r="P379" s="52" t="s">
        <v>160</v>
      </c>
      <c r="Q379" s="52" t="b">
        <v>0</v>
      </c>
      <c r="R379" s="52">
        <v>161088.065</v>
      </c>
      <c r="S379" s="52" t="b">
        <v>1</v>
      </c>
      <c r="T379" s="52">
        <v>3</v>
      </c>
      <c r="U379" s="52">
        <v>49</v>
      </c>
    </row>
    <row r="380" spans="1:21" x14ac:dyDescent="0.25">
      <c r="A380" s="52">
        <v>86</v>
      </c>
      <c r="B380" s="52" t="s">
        <v>145</v>
      </c>
      <c r="C380" s="52" t="b">
        <v>0</v>
      </c>
      <c r="D380" s="52" t="s">
        <v>186</v>
      </c>
      <c r="E380" s="52" t="s">
        <v>37</v>
      </c>
      <c r="F380" s="52" t="s">
        <v>38</v>
      </c>
      <c r="G380" s="52" t="s">
        <v>11</v>
      </c>
      <c r="H380" s="52" t="s">
        <v>39</v>
      </c>
      <c r="I380" s="52" t="s">
        <v>47</v>
      </c>
      <c r="J380" s="52">
        <v>2.7468042559003676</v>
      </c>
      <c r="K380" s="52" t="s">
        <v>160</v>
      </c>
      <c r="L380" s="52" t="s">
        <v>160</v>
      </c>
      <c r="M380" s="52">
        <v>30.660467908696752</v>
      </c>
      <c r="N380" s="52">
        <v>0.96647169883701789</v>
      </c>
      <c r="O380" s="52">
        <v>30.660467908696752</v>
      </c>
      <c r="P380" s="52" t="s">
        <v>160</v>
      </c>
      <c r="Q380" s="52" t="b">
        <v>0</v>
      </c>
      <c r="R380" s="52">
        <v>74142.899999999994</v>
      </c>
      <c r="S380" s="52" t="b">
        <v>1</v>
      </c>
      <c r="T380" s="52">
        <v>3</v>
      </c>
      <c r="U380" s="52">
        <v>23</v>
      </c>
    </row>
    <row r="381" spans="1:21" x14ac:dyDescent="0.25">
      <c r="A381" s="52">
        <v>86</v>
      </c>
      <c r="B381" s="52" t="s">
        <v>145</v>
      </c>
      <c r="C381" s="52" t="b">
        <v>0</v>
      </c>
      <c r="D381" s="52" t="s">
        <v>186</v>
      </c>
      <c r="E381" s="52" t="s">
        <v>42</v>
      </c>
      <c r="F381" s="52" t="s">
        <v>38</v>
      </c>
      <c r="G381" s="52" t="s">
        <v>13</v>
      </c>
      <c r="H381" s="52" t="s">
        <v>39</v>
      </c>
      <c r="I381" s="52" t="s">
        <v>47</v>
      </c>
      <c r="J381" s="52">
        <v>2.5916431092059726</v>
      </c>
      <c r="K381" s="52" t="s">
        <v>160</v>
      </c>
      <c r="L381" s="52" t="s">
        <v>160</v>
      </c>
      <c r="M381" s="52">
        <v>33.245377143965854</v>
      </c>
      <c r="N381" s="52">
        <v>0.89784019827284356</v>
      </c>
      <c r="O381" s="52">
        <v>33.245377143965854</v>
      </c>
      <c r="P381" s="52" t="s">
        <v>160</v>
      </c>
      <c r="Q381" s="52" t="b">
        <v>0</v>
      </c>
      <c r="R381" s="52">
        <v>46910.862999999998</v>
      </c>
      <c r="S381" s="52" t="b">
        <v>1</v>
      </c>
      <c r="T381" s="52">
        <v>3</v>
      </c>
      <c r="U381" s="52">
        <v>25</v>
      </c>
    </row>
    <row r="382" spans="1:21" x14ac:dyDescent="0.25">
      <c r="A382" s="52">
        <v>86</v>
      </c>
      <c r="B382" s="52" t="s">
        <v>145</v>
      </c>
      <c r="C382" s="52" t="b">
        <v>0</v>
      </c>
      <c r="D382" s="52" t="s">
        <v>186</v>
      </c>
      <c r="E382" s="52" t="s">
        <v>43</v>
      </c>
      <c r="F382" s="52" t="s">
        <v>38</v>
      </c>
      <c r="G382" s="52" t="s">
        <v>12</v>
      </c>
      <c r="H382" s="52" t="s">
        <v>39</v>
      </c>
      <c r="I382" s="52" t="s">
        <v>40</v>
      </c>
      <c r="J382" s="52">
        <v>0</v>
      </c>
      <c r="K382" s="52" t="s">
        <v>160</v>
      </c>
      <c r="L382" s="52" t="s">
        <v>160</v>
      </c>
      <c r="M382" s="52" t="s">
        <v>41</v>
      </c>
      <c r="N382" s="52">
        <v>0</v>
      </c>
      <c r="O382" s="52" t="s">
        <v>160</v>
      </c>
      <c r="P382" s="52" t="s">
        <v>160</v>
      </c>
      <c r="Q382" s="52" t="b">
        <v>0</v>
      </c>
      <c r="R382" s="52">
        <v>69932.437000000005</v>
      </c>
      <c r="S382" s="52" t="b">
        <v>1</v>
      </c>
      <c r="T382" s="52">
        <v>3</v>
      </c>
      <c r="U382" s="52">
        <v>49</v>
      </c>
    </row>
    <row r="383" spans="1:21" x14ac:dyDescent="0.25">
      <c r="A383" s="52">
        <v>86</v>
      </c>
      <c r="B383" s="52" t="s">
        <v>145</v>
      </c>
      <c r="C383" s="52" t="b">
        <v>0</v>
      </c>
      <c r="D383" s="52" t="s">
        <v>186</v>
      </c>
      <c r="E383" s="52" t="s">
        <v>44</v>
      </c>
      <c r="F383" s="52" t="s">
        <v>38</v>
      </c>
      <c r="G383" s="52" t="s">
        <v>14</v>
      </c>
      <c r="H383" s="52" t="s">
        <v>39</v>
      </c>
      <c r="I383" s="52" t="s">
        <v>47</v>
      </c>
      <c r="J383" s="52">
        <v>2.5853749652342066</v>
      </c>
      <c r="K383" s="52" t="s">
        <v>160</v>
      </c>
      <c r="L383" s="52" t="s">
        <v>160</v>
      </c>
      <c r="M383" s="52">
        <v>25.268593419824729</v>
      </c>
      <c r="N383" s="52">
        <v>0.93812985789634529</v>
      </c>
      <c r="O383" s="52">
        <v>25.268593419824729</v>
      </c>
      <c r="P383" s="52" t="s">
        <v>160</v>
      </c>
      <c r="Q383" s="52" t="b">
        <v>0</v>
      </c>
      <c r="R383" s="52">
        <v>47660.913</v>
      </c>
      <c r="S383" s="52" t="b">
        <v>1</v>
      </c>
      <c r="T383" s="52">
        <v>3</v>
      </c>
      <c r="U383" s="52">
        <v>16</v>
      </c>
    </row>
    <row r="384" spans="1:21" x14ac:dyDescent="0.25">
      <c r="A384" s="52">
        <v>86</v>
      </c>
      <c r="B384" s="52" t="s">
        <v>145</v>
      </c>
      <c r="C384" s="52" t="b">
        <v>0</v>
      </c>
      <c r="D384" s="52" t="s">
        <v>186</v>
      </c>
      <c r="E384" s="52" t="s">
        <v>45</v>
      </c>
      <c r="F384" s="52" t="s">
        <v>38</v>
      </c>
      <c r="G384" s="52" t="s">
        <v>10</v>
      </c>
      <c r="H384" s="52" t="s">
        <v>39</v>
      </c>
      <c r="I384" s="52" t="s">
        <v>139</v>
      </c>
      <c r="J384" s="52">
        <v>0</v>
      </c>
      <c r="K384" s="52" t="s">
        <v>160</v>
      </c>
      <c r="L384" s="52" t="s">
        <v>160</v>
      </c>
      <c r="M384" s="52" t="s">
        <v>41</v>
      </c>
      <c r="N384" s="52">
        <v>0</v>
      </c>
      <c r="O384" s="52" t="s">
        <v>160</v>
      </c>
      <c r="P384" s="52" t="s">
        <v>160</v>
      </c>
      <c r="Q384" s="52" t="b">
        <v>0</v>
      </c>
      <c r="R384" s="52">
        <v>161088.065</v>
      </c>
      <c r="S384" s="52" t="b">
        <v>1</v>
      </c>
      <c r="T384" s="52">
        <v>3</v>
      </c>
      <c r="U384" s="52">
        <v>49</v>
      </c>
    </row>
    <row r="385" spans="1:21" x14ac:dyDescent="0.25">
      <c r="A385" s="52">
        <v>87</v>
      </c>
      <c r="B385" s="52" t="s">
        <v>146</v>
      </c>
      <c r="C385" s="52" t="b">
        <v>0</v>
      </c>
      <c r="D385" s="52" t="s">
        <v>187</v>
      </c>
      <c r="E385" s="52" t="s">
        <v>37</v>
      </c>
      <c r="F385" s="52" t="s">
        <v>38</v>
      </c>
      <c r="G385" s="52" t="s">
        <v>11</v>
      </c>
      <c r="H385" s="52" t="s">
        <v>39</v>
      </c>
      <c r="I385" s="52" t="s">
        <v>47</v>
      </c>
      <c r="J385" s="52">
        <v>2.7691686321025766</v>
      </c>
      <c r="K385" s="52" t="s">
        <v>160</v>
      </c>
      <c r="L385" s="52" t="s">
        <v>160</v>
      </c>
      <c r="M385" s="52">
        <v>31.093041223926512</v>
      </c>
      <c r="N385" s="52">
        <v>0.96387075268408973</v>
      </c>
      <c r="O385" s="52">
        <v>31.093041223926512</v>
      </c>
      <c r="P385" s="52" t="s">
        <v>160</v>
      </c>
      <c r="Q385" s="52" t="b">
        <v>0</v>
      </c>
      <c r="R385" s="52">
        <v>74142.899999999994</v>
      </c>
      <c r="S385" s="52" t="b">
        <v>1</v>
      </c>
      <c r="T385" s="52">
        <v>3</v>
      </c>
      <c r="U385" s="52">
        <v>23</v>
      </c>
    </row>
    <row r="386" spans="1:21" x14ac:dyDescent="0.25">
      <c r="A386" s="52">
        <v>87</v>
      </c>
      <c r="B386" s="52" t="s">
        <v>146</v>
      </c>
      <c r="C386" s="52" t="b">
        <v>0</v>
      </c>
      <c r="D386" s="52" t="s">
        <v>187</v>
      </c>
      <c r="E386" s="52" t="s">
        <v>42</v>
      </c>
      <c r="F386" s="52" t="s">
        <v>38</v>
      </c>
      <c r="G386" s="52" t="s">
        <v>13</v>
      </c>
      <c r="H386" s="52" t="s">
        <v>39</v>
      </c>
      <c r="I386" s="52" t="s">
        <v>47</v>
      </c>
      <c r="J386" s="52">
        <v>2.5614935450502698</v>
      </c>
      <c r="K386" s="52" t="s">
        <v>160</v>
      </c>
      <c r="L386" s="52" t="s">
        <v>160</v>
      </c>
      <c r="M386" s="52">
        <v>33.534149146432924</v>
      </c>
      <c r="N386" s="52">
        <v>0.93055459791262474</v>
      </c>
      <c r="O386" s="52">
        <v>33.534149146432924</v>
      </c>
      <c r="P386" s="52" t="s">
        <v>160</v>
      </c>
      <c r="Q386" s="52" t="b">
        <v>0</v>
      </c>
      <c r="R386" s="52">
        <v>46910.862999999998</v>
      </c>
      <c r="S386" s="52" t="b">
        <v>1</v>
      </c>
      <c r="T386" s="52">
        <v>3</v>
      </c>
      <c r="U386" s="52">
        <v>24</v>
      </c>
    </row>
    <row r="387" spans="1:21" x14ac:dyDescent="0.25">
      <c r="A387" s="52">
        <v>87</v>
      </c>
      <c r="B387" s="52" t="s">
        <v>146</v>
      </c>
      <c r="C387" s="52" t="b">
        <v>0</v>
      </c>
      <c r="D387" s="52" t="s">
        <v>187</v>
      </c>
      <c r="E387" s="52" t="s">
        <v>43</v>
      </c>
      <c r="F387" s="52" t="s">
        <v>38</v>
      </c>
      <c r="G387" s="52" t="s">
        <v>12</v>
      </c>
      <c r="H387" s="52" t="s">
        <v>39</v>
      </c>
      <c r="I387" s="52" t="s">
        <v>40</v>
      </c>
      <c r="J387" s="52">
        <v>1.9780481811793056</v>
      </c>
      <c r="K387" s="52" t="s">
        <v>160</v>
      </c>
      <c r="L387" s="52" t="s">
        <v>160</v>
      </c>
      <c r="M387" s="52" t="s">
        <v>41</v>
      </c>
      <c r="N387" s="52">
        <v>0</v>
      </c>
      <c r="O387" s="52" t="s">
        <v>160</v>
      </c>
      <c r="P387" s="52" t="s">
        <v>160</v>
      </c>
      <c r="Q387" s="52" t="b">
        <v>0</v>
      </c>
      <c r="R387" s="52">
        <v>69932.437000000005</v>
      </c>
      <c r="S387" s="52" t="b">
        <v>1</v>
      </c>
      <c r="T387" s="52">
        <v>3</v>
      </c>
      <c r="U387" s="52">
        <v>49</v>
      </c>
    </row>
    <row r="388" spans="1:21" x14ac:dyDescent="0.25">
      <c r="A388" s="52">
        <v>87</v>
      </c>
      <c r="B388" s="52" t="s">
        <v>146</v>
      </c>
      <c r="C388" s="52" t="b">
        <v>0</v>
      </c>
      <c r="D388" s="52" t="s">
        <v>187</v>
      </c>
      <c r="E388" s="52" t="s">
        <v>44</v>
      </c>
      <c r="F388" s="52" t="s">
        <v>38</v>
      </c>
      <c r="G388" s="52" t="s">
        <v>14</v>
      </c>
      <c r="H388" s="52" t="s">
        <v>39</v>
      </c>
      <c r="I388" s="52" t="s">
        <v>47</v>
      </c>
      <c r="J388" s="52">
        <v>2.6293342026243609</v>
      </c>
      <c r="K388" s="52" t="s">
        <v>160</v>
      </c>
      <c r="L388" s="52" t="s">
        <v>160</v>
      </c>
      <c r="M388" s="52">
        <v>24.601114565395612</v>
      </c>
      <c r="N388" s="52">
        <v>0.91504421714123063</v>
      </c>
      <c r="O388" s="52">
        <v>24.601114565395612</v>
      </c>
      <c r="P388" s="52" t="s">
        <v>160</v>
      </c>
      <c r="Q388" s="52" t="b">
        <v>0</v>
      </c>
      <c r="R388" s="52">
        <v>47660.913</v>
      </c>
      <c r="S388" s="52" t="b">
        <v>1</v>
      </c>
      <c r="T388" s="52">
        <v>3</v>
      </c>
      <c r="U388" s="52">
        <v>16</v>
      </c>
    </row>
    <row r="389" spans="1:21" x14ac:dyDescent="0.25">
      <c r="A389" s="52">
        <v>87</v>
      </c>
      <c r="B389" s="52" t="s">
        <v>146</v>
      </c>
      <c r="C389" s="52" t="b">
        <v>0</v>
      </c>
      <c r="D389" s="52" t="s">
        <v>187</v>
      </c>
      <c r="E389" s="52" t="s">
        <v>45</v>
      </c>
      <c r="F389" s="52" t="s">
        <v>38</v>
      </c>
      <c r="G389" s="52" t="s">
        <v>10</v>
      </c>
      <c r="H389" s="52" t="s">
        <v>39</v>
      </c>
      <c r="I389" s="52" t="s">
        <v>139</v>
      </c>
      <c r="J389" s="52">
        <v>2.1741962460534485</v>
      </c>
      <c r="K389" s="52" t="s">
        <v>160</v>
      </c>
      <c r="L389" s="52" t="s">
        <v>160</v>
      </c>
      <c r="M389" s="52" t="s">
        <v>41</v>
      </c>
      <c r="N389" s="52">
        <v>0</v>
      </c>
      <c r="O389" s="52" t="s">
        <v>160</v>
      </c>
      <c r="P389" s="52" t="s">
        <v>160</v>
      </c>
      <c r="Q389" s="52" t="b">
        <v>0</v>
      </c>
      <c r="R389" s="52">
        <v>161088.065</v>
      </c>
      <c r="S389" s="52" t="b">
        <v>1</v>
      </c>
      <c r="T389" s="52">
        <v>3</v>
      </c>
      <c r="U389" s="52">
        <v>49</v>
      </c>
    </row>
    <row r="390" spans="1:21" x14ac:dyDescent="0.25">
      <c r="A390" s="52">
        <v>88</v>
      </c>
      <c r="B390" s="52" t="s">
        <v>147</v>
      </c>
      <c r="C390" s="52" t="b">
        <v>0</v>
      </c>
      <c r="D390" s="52" t="s">
        <v>188</v>
      </c>
      <c r="E390" s="52" t="s">
        <v>37</v>
      </c>
      <c r="F390" s="52" t="s">
        <v>38</v>
      </c>
      <c r="G390" s="52" t="s">
        <v>11</v>
      </c>
      <c r="H390" s="52" t="s">
        <v>39</v>
      </c>
      <c r="I390" s="52" t="s">
        <v>47</v>
      </c>
      <c r="J390" s="52">
        <v>2.7825620031826674</v>
      </c>
      <c r="K390" s="52" t="s">
        <v>160</v>
      </c>
      <c r="L390" s="52" t="s">
        <v>160</v>
      </c>
      <c r="M390" s="52">
        <v>29.433063817783719</v>
      </c>
      <c r="N390" s="52">
        <v>0.94920855840648577</v>
      </c>
      <c r="O390" s="52">
        <v>29.433063817783719</v>
      </c>
      <c r="P390" s="52" t="s">
        <v>160</v>
      </c>
      <c r="Q390" s="52" t="b">
        <v>0</v>
      </c>
      <c r="R390" s="52">
        <v>74142.899999999994</v>
      </c>
      <c r="S390" s="52" t="b">
        <v>1</v>
      </c>
      <c r="T390" s="52">
        <v>3</v>
      </c>
      <c r="U390" s="52">
        <v>21</v>
      </c>
    </row>
    <row r="391" spans="1:21" x14ac:dyDescent="0.25">
      <c r="A391" s="52">
        <v>88</v>
      </c>
      <c r="B391" s="52" t="s">
        <v>147</v>
      </c>
      <c r="C391" s="52" t="b">
        <v>0</v>
      </c>
      <c r="D391" s="52" t="s">
        <v>188</v>
      </c>
      <c r="E391" s="52" t="s">
        <v>42</v>
      </c>
      <c r="F391" s="52" t="s">
        <v>38</v>
      </c>
      <c r="G391" s="52" t="s">
        <v>13</v>
      </c>
      <c r="H391" s="52" t="s">
        <v>39</v>
      </c>
      <c r="I391" s="52" t="s">
        <v>47</v>
      </c>
      <c r="J391" s="52">
        <v>2.6541733391084215</v>
      </c>
      <c r="K391" s="52" t="s">
        <v>160</v>
      </c>
      <c r="L391" s="52" t="s">
        <v>160</v>
      </c>
      <c r="M391" s="52">
        <v>31.88836483553208</v>
      </c>
      <c r="N391" s="52">
        <v>0.89245209036720885</v>
      </c>
      <c r="O391" s="52">
        <v>31.88836483553208</v>
      </c>
      <c r="P391" s="52" t="s">
        <v>160</v>
      </c>
      <c r="Q391" s="52" t="b">
        <v>0</v>
      </c>
      <c r="R391" s="52">
        <v>46910.862999999998</v>
      </c>
      <c r="S391" s="52" t="b">
        <v>1</v>
      </c>
      <c r="T391" s="52">
        <v>3</v>
      </c>
      <c r="U391" s="52">
        <v>23</v>
      </c>
    </row>
    <row r="392" spans="1:21" x14ac:dyDescent="0.25">
      <c r="A392" s="52">
        <v>88</v>
      </c>
      <c r="B392" s="52" t="s">
        <v>147</v>
      </c>
      <c r="C392" s="52" t="b">
        <v>0</v>
      </c>
      <c r="D392" s="52" t="s">
        <v>188</v>
      </c>
      <c r="E392" s="52" t="s">
        <v>43</v>
      </c>
      <c r="F392" s="52" t="s">
        <v>38</v>
      </c>
      <c r="G392" s="52" t="s">
        <v>12</v>
      </c>
      <c r="H392" s="52" t="s">
        <v>39</v>
      </c>
      <c r="I392" s="52" t="s">
        <v>40</v>
      </c>
      <c r="J392" s="52">
        <v>0</v>
      </c>
      <c r="K392" s="52" t="s">
        <v>160</v>
      </c>
      <c r="L392" s="52" t="s">
        <v>160</v>
      </c>
      <c r="M392" s="52" t="s">
        <v>41</v>
      </c>
      <c r="N392" s="52">
        <v>0</v>
      </c>
      <c r="O392" s="52" t="s">
        <v>160</v>
      </c>
      <c r="P392" s="52" t="s">
        <v>160</v>
      </c>
      <c r="Q392" s="52" t="b">
        <v>0</v>
      </c>
      <c r="R392" s="52">
        <v>69932.437000000005</v>
      </c>
      <c r="S392" s="52" t="b">
        <v>1</v>
      </c>
      <c r="T392" s="52">
        <v>3</v>
      </c>
      <c r="U392" s="52">
        <v>49</v>
      </c>
    </row>
    <row r="393" spans="1:21" x14ac:dyDescent="0.25">
      <c r="A393" s="52">
        <v>88</v>
      </c>
      <c r="B393" s="52" t="s">
        <v>147</v>
      </c>
      <c r="C393" s="52" t="b">
        <v>0</v>
      </c>
      <c r="D393" s="52" t="s">
        <v>188</v>
      </c>
      <c r="E393" s="52" t="s">
        <v>44</v>
      </c>
      <c r="F393" s="52" t="s">
        <v>38</v>
      </c>
      <c r="G393" s="52" t="s">
        <v>14</v>
      </c>
      <c r="H393" s="52" t="s">
        <v>39</v>
      </c>
      <c r="I393" s="52" t="s">
        <v>47</v>
      </c>
      <c r="J393" s="52">
        <v>2.6550321889140909</v>
      </c>
      <c r="K393" s="52" t="s">
        <v>160</v>
      </c>
      <c r="L393" s="52" t="s">
        <v>160</v>
      </c>
      <c r="M393" s="52">
        <v>24.034928270955632</v>
      </c>
      <c r="N393" s="52">
        <v>0.92876363518443295</v>
      </c>
      <c r="O393" s="52">
        <v>24.034928270955632</v>
      </c>
      <c r="P393" s="52" t="s">
        <v>160</v>
      </c>
      <c r="Q393" s="52" t="b">
        <v>0</v>
      </c>
      <c r="R393" s="52">
        <v>47660.913</v>
      </c>
      <c r="S393" s="52" t="b">
        <v>1</v>
      </c>
      <c r="T393" s="52">
        <v>3</v>
      </c>
      <c r="U393" s="52">
        <v>15</v>
      </c>
    </row>
    <row r="394" spans="1:21" x14ac:dyDescent="0.25">
      <c r="A394" s="52">
        <v>88</v>
      </c>
      <c r="B394" s="52" t="s">
        <v>147</v>
      </c>
      <c r="C394" s="52" t="b">
        <v>0</v>
      </c>
      <c r="D394" s="52" t="s">
        <v>188</v>
      </c>
      <c r="E394" s="52" t="s">
        <v>45</v>
      </c>
      <c r="F394" s="52" t="s">
        <v>38</v>
      </c>
      <c r="G394" s="52" t="s">
        <v>10</v>
      </c>
      <c r="H394" s="52" t="s">
        <v>39</v>
      </c>
      <c r="I394" s="52" t="s">
        <v>139</v>
      </c>
      <c r="J394" s="52">
        <v>0</v>
      </c>
      <c r="K394" s="52" t="s">
        <v>160</v>
      </c>
      <c r="L394" s="52" t="s">
        <v>160</v>
      </c>
      <c r="M394" s="52" t="s">
        <v>41</v>
      </c>
      <c r="N394" s="52">
        <v>0</v>
      </c>
      <c r="O394" s="52" t="s">
        <v>160</v>
      </c>
      <c r="P394" s="52" t="s">
        <v>160</v>
      </c>
      <c r="Q394" s="52" t="b">
        <v>0</v>
      </c>
      <c r="R394" s="52">
        <v>161088.065</v>
      </c>
      <c r="S394" s="52" t="b">
        <v>1</v>
      </c>
      <c r="T394" s="52">
        <v>3</v>
      </c>
      <c r="U394" s="52">
        <v>49</v>
      </c>
    </row>
    <row r="395" spans="1:21" x14ac:dyDescent="0.25">
      <c r="A395" s="52">
        <v>89</v>
      </c>
      <c r="B395" s="52" t="s">
        <v>148</v>
      </c>
      <c r="C395" s="52" t="b">
        <v>0</v>
      </c>
      <c r="D395" s="52" t="s">
        <v>189</v>
      </c>
      <c r="E395" s="52" t="s">
        <v>37</v>
      </c>
      <c r="F395" s="52" t="s">
        <v>38</v>
      </c>
      <c r="G395" s="52" t="s">
        <v>11</v>
      </c>
      <c r="H395" s="52" t="s">
        <v>39</v>
      </c>
      <c r="I395" s="52" t="s">
        <v>47</v>
      </c>
      <c r="J395" s="52">
        <v>2.7824121551572323</v>
      </c>
      <c r="K395" s="52" t="s">
        <v>160</v>
      </c>
      <c r="L395" s="52" t="s">
        <v>160</v>
      </c>
      <c r="M395" s="52">
        <v>29.572531730529171</v>
      </c>
      <c r="N395" s="52">
        <v>0.9630938273636106</v>
      </c>
      <c r="O395" s="52">
        <v>29.572531730529171</v>
      </c>
      <c r="P395" s="52" t="s">
        <v>160</v>
      </c>
      <c r="Q395" s="52" t="b">
        <v>0</v>
      </c>
      <c r="R395" s="52">
        <v>74142.899999999994</v>
      </c>
      <c r="S395" s="52" t="b">
        <v>1</v>
      </c>
      <c r="T395" s="52">
        <v>3</v>
      </c>
      <c r="U395" s="52">
        <v>19</v>
      </c>
    </row>
    <row r="396" spans="1:21" x14ac:dyDescent="0.25">
      <c r="A396" s="52">
        <v>89</v>
      </c>
      <c r="B396" s="52" t="s">
        <v>148</v>
      </c>
      <c r="C396" s="52" t="b">
        <v>0</v>
      </c>
      <c r="D396" s="52" t="s">
        <v>189</v>
      </c>
      <c r="E396" s="52" t="s">
        <v>42</v>
      </c>
      <c r="F396" s="52" t="s">
        <v>38</v>
      </c>
      <c r="G396" s="52" t="s">
        <v>13</v>
      </c>
      <c r="H396" s="52" t="s">
        <v>39</v>
      </c>
      <c r="I396" s="52" t="s">
        <v>47</v>
      </c>
      <c r="J396" s="52">
        <v>2.6622592243712866</v>
      </c>
      <c r="K396" s="52" t="s">
        <v>160</v>
      </c>
      <c r="L396" s="52" t="s">
        <v>160</v>
      </c>
      <c r="M396" s="52">
        <v>31.799546274983349</v>
      </c>
      <c r="N396" s="52">
        <v>0.89355689841916552</v>
      </c>
      <c r="O396" s="52">
        <v>31.799546274983349</v>
      </c>
      <c r="P396" s="52" t="s">
        <v>160</v>
      </c>
      <c r="Q396" s="52" t="b">
        <v>0</v>
      </c>
      <c r="R396" s="52">
        <v>46910.862999999998</v>
      </c>
      <c r="S396" s="52" t="b">
        <v>1</v>
      </c>
      <c r="T396" s="52">
        <v>3</v>
      </c>
      <c r="U396" s="52">
        <v>23</v>
      </c>
    </row>
    <row r="397" spans="1:21" x14ac:dyDescent="0.25">
      <c r="A397" s="52">
        <v>89</v>
      </c>
      <c r="B397" s="52" t="s">
        <v>148</v>
      </c>
      <c r="C397" s="52" t="b">
        <v>0</v>
      </c>
      <c r="D397" s="52" t="s">
        <v>189</v>
      </c>
      <c r="E397" s="52" t="s">
        <v>43</v>
      </c>
      <c r="F397" s="52" t="s">
        <v>38</v>
      </c>
      <c r="G397" s="52" t="s">
        <v>12</v>
      </c>
      <c r="H397" s="52" t="s">
        <v>39</v>
      </c>
      <c r="I397" s="52" t="s">
        <v>139</v>
      </c>
      <c r="J397" s="52">
        <v>0</v>
      </c>
      <c r="K397" s="52" t="s">
        <v>160</v>
      </c>
      <c r="L397" s="52" t="s">
        <v>160</v>
      </c>
      <c r="M397" s="52" t="s">
        <v>41</v>
      </c>
      <c r="N397" s="52">
        <v>0</v>
      </c>
      <c r="O397" s="52" t="s">
        <v>160</v>
      </c>
      <c r="P397" s="52" t="s">
        <v>160</v>
      </c>
      <c r="Q397" s="52" t="b">
        <v>0</v>
      </c>
      <c r="R397" s="52">
        <v>69932.437000000005</v>
      </c>
      <c r="S397" s="52" t="b">
        <v>1</v>
      </c>
      <c r="T397" s="52">
        <v>3</v>
      </c>
      <c r="U397" s="52">
        <v>49</v>
      </c>
    </row>
    <row r="398" spans="1:21" x14ac:dyDescent="0.25">
      <c r="A398" s="52">
        <v>89</v>
      </c>
      <c r="B398" s="52" t="s">
        <v>148</v>
      </c>
      <c r="C398" s="52" t="b">
        <v>0</v>
      </c>
      <c r="D398" s="52" t="s">
        <v>189</v>
      </c>
      <c r="E398" s="52" t="s">
        <v>44</v>
      </c>
      <c r="F398" s="52" t="s">
        <v>38</v>
      </c>
      <c r="G398" s="52" t="s">
        <v>14</v>
      </c>
      <c r="H398" s="52" t="s">
        <v>39</v>
      </c>
      <c r="I398" s="52" t="s">
        <v>47</v>
      </c>
      <c r="J398" s="52">
        <v>2.674340771308314</v>
      </c>
      <c r="K398" s="52" t="s">
        <v>160</v>
      </c>
      <c r="L398" s="52" t="s">
        <v>160</v>
      </c>
      <c r="M398" s="52">
        <v>22.785513363410374</v>
      </c>
      <c r="N398" s="52">
        <v>0.95393432557609736</v>
      </c>
      <c r="O398" s="52">
        <v>22.785513363410374</v>
      </c>
      <c r="P398" s="52" t="s">
        <v>160</v>
      </c>
      <c r="Q398" s="52" t="b">
        <v>0</v>
      </c>
      <c r="R398" s="52">
        <v>47660.913</v>
      </c>
      <c r="S398" s="52" t="b">
        <v>1</v>
      </c>
      <c r="T398" s="52">
        <v>3</v>
      </c>
      <c r="U398" s="52">
        <v>14</v>
      </c>
    </row>
    <row r="399" spans="1:21" x14ac:dyDescent="0.25">
      <c r="A399" s="52">
        <v>89</v>
      </c>
      <c r="B399" s="52" t="s">
        <v>148</v>
      </c>
      <c r="C399" s="52" t="b">
        <v>0</v>
      </c>
      <c r="D399" s="52" t="s">
        <v>189</v>
      </c>
      <c r="E399" s="52" t="s">
        <v>45</v>
      </c>
      <c r="F399" s="52" t="s">
        <v>38</v>
      </c>
      <c r="G399" s="52" t="s">
        <v>10</v>
      </c>
      <c r="H399" s="52" t="s">
        <v>39</v>
      </c>
      <c r="I399" s="52" t="s">
        <v>139</v>
      </c>
      <c r="J399" s="52">
        <v>0</v>
      </c>
      <c r="K399" s="52" t="s">
        <v>160</v>
      </c>
      <c r="L399" s="52" t="s">
        <v>160</v>
      </c>
      <c r="M399" s="52" t="s">
        <v>41</v>
      </c>
      <c r="N399" s="52">
        <v>0</v>
      </c>
      <c r="O399" s="52" t="s">
        <v>160</v>
      </c>
      <c r="P399" s="52" t="s">
        <v>160</v>
      </c>
      <c r="Q399" s="52" t="b">
        <v>0</v>
      </c>
      <c r="R399" s="52">
        <v>161088.065</v>
      </c>
      <c r="S399" s="52" t="b">
        <v>1</v>
      </c>
      <c r="T399" s="52">
        <v>3</v>
      </c>
      <c r="U399" s="52">
        <v>49</v>
      </c>
    </row>
    <row r="400" spans="1:21" x14ac:dyDescent="0.25">
      <c r="A400" s="52">
        <v>90</v>
      </c>
      <c r="B400" s="52" t="s">
        <v>284</v>
      </c>
      <c r="C400" s="52" t="b">
        <v>0</v>
      </c>
      <c r="D400" s="52" t="s">
        <v>285</v>
      </c>
      <c r="E400" s="52" t="s">
        <v>37</v>
      </c>
      <c r="F400" s="52" t="s">
        <v>38</v>
      </c>
      <c r="G400" s="52" t="s">
        <v>11</v>
      </c>
      <c r="H400" s="52" t="s">
        <v>39</v>
      </c>
      <c r="I400" s="52" t="s">
        <v>47</v>
      </c>
      <c r="J400" s="52">
        <v>2.8248846200928117</v>
      </c>
      <c r="K400" s="52" t="s">
        <v>160</v>
      </c>
      <c r="L400" s="52" t="s">
        <v>160</v>
      </c>
      <c r="M400" s="52">
        <v>27.294485035550423</v>
      </c>
      <c r="N400" s="52">
        <v>0.96765605819743783</v>
      </c>
      <c r="O400" s="52">
        <v>27.294485035550423</v>
      </c>
      <c r="P400" s="52" t="s">
        <v>160</v>
      </c>
      <c r="Q400" s="52" t="b">
        <v>0</v>
      </c>
      <c r="R400" s="52">
        <v>74142.899999999994</v>
      </c>
      <c r="S400" s="52" t="b">
        <v>1</v>
      </c>
      <c r="T400" s="52">
        <v>3</v>
      </c>
      <c r="U400" s="52">
        <v>20</v>
      </c>
    </row>
    <row r="401" spans="1:21" x14ac:dyDescent="0.25">
      <c r="A401" s="52">
        <v>90</v>
      </c>
      <c r="B401" s="52" t="s">
        <v>284</v>
      </c>
      <c r="C401" s="52" t="b">
        <v>0</v>
      </c>
      <c r="D401" s="52" t="s">
        <v>285</v>
      </c>
      <c r="E401" s="52" t="s">
        <v>42</v>
      </c>
      <c r="F401" s="52" t="s">
        <v>38</v>
      </c>
      <c r="G401" s="52" t="s">
        <v>13</v>
      </c>
      <c r="H401" s="52" t="s">
        <v>39</v>
      </c>
      <c r="I401" s="52" t="s">
        <v>47</v>
      </c>
      <c r="J401" s="52">
        <v>2.7411330018444322</v>
      </c>
      <c r="K401" s="52" t="s">
        <v>160</v>
      </c>
      <c r="L401" s="52" t="s">
        <v>160</v>
      </c>
      <c r="M401" s="52">
        <v>29.593598189135243</v>
      </c>
      <c r="N401" s="52">
        <v>0.93434431876185253</v>
      </c>
      <c r="O401" s="52">
        <v>29.593598189135243</v>
      </c>
      <c r="P401" s="52" t="s">
        <v>160</v>
      </c>
      <c r="Q401" s="52" t="b">
        <v>0</v>
      </c>
      <c r="R401" s="52">
        <v>46910.862999999998</v>
      </c>
      <c r="S401" s="52" t="b">
        <v>1</v>
      </c>
      <c r="T401" s="52">
        <v>3</v>
      </c>
      <c r="U401" s="52">
        <v>23</v>
      </c>
    </row>
    <row r="402" spans="1:21" x14ac:dyDescent="0.25">
      <c r="A402" s="52">
        <v>90</v>
      </c>
      <c r="B402" s="52" t="s">
        <v>284</v>
      </c>
      <c r="C402" s="52" t="b">
        <v>0</v>
      </c>
      <c r="D402" s="52" t="s">
        <v>285</v>
      </c>
      <c r="E402" s="52" t="s">
        <v>43</v>
      </c>
      <c r="F402" s="52" t="s">
        <v>38</v>
      </c>
      <c r="G402" s="52" t="s">
        <v>12</v>
      </c>
      <c r="H402" s="52" t="s">
        <v>39</v>
      </c>
      <c r="I402" s="52" t="s">
        <v>40</v>
      </c>
      <c r="J402" s="52">
        <v>0</v>
      </c>
      <c r="K402" s="52" t="s">
        <v>160</v>
      </c>
      <c r="L402" s="52" t="s">
        <v>160</v>
      </c>
      <c r="M402" s="52" t="s">
        <v>41</v>
      </c>
      <c r="N402" s="52">
        <v>0</v>
      </c>
      <c r="O402" s="52" t="s">
        <v>160</v>
      </c>
      <c r="P402" s="52" t="s">
        <v>160</v>
      </c>
      <c r="Q402" s="52" t="b">
        <v>0</v>
      </c>
      <c r="R402" s="52">
        <v>69932.437000000005</v>
      </c>
      <c r="S402" s="52" t="b">
        <v>1</v>
      </c>
      <c r="T402" s="52">
        <v>3</v>
      </c>
      <c r="U402" s="52">
        <v>49</v>
      </c>
    </row>
    <row r="403" spans="1:21" x14ac:dyDescent="0.25">
      <c r="A403" s="52">
        <v>90</v>
      </c>
      <c r="B403" s="52" t="s">
        <v>284</v>
      </c>
      <c r="C403" s="52" t="b">
        <v>0</v>
      </c>
      <c r="D403" s="52" t="s">
        <v>285</v>
      </c>
      <c r="E403" s="52" t="s">
        <v>44</v>
      </c>
      <c r="F403" s="52" t="s">
        <v>38</v>
      </c>
      <c r="G403" s="52" t="s">
        <v>14</v>
      </c>
      <c r="H403" s="52" t="s">
        <v>39</v>
      </c>
      <c r="I403" s="52" t="s">
        <v>47</v>
      </c>
      <c r="J403" s="52">
        <v>2.697533366377689</v>
      </c>
      <c r="K403" s="52" t="s">
        <v>160</v>
      </c>
      <c r="L403" s="52" t="s">
        <v>160</v>
      </c>
      <c r="M403" s="52">
        <v>24.83829107599059</v>
      </c>
      <c r="N403" s="52">
        <v>0.93036420973703693</v>
      </c>
      <c r="O403" s="52">
        <v>24.83829107599059</v>
      </c>
      <c r="P403" s="52" t="s">
        <v>160</v>
      </c>
      <c r="Q403" s="52" t="b">
        <v>0</v>
      </c>
      <c r="R403" s="52">
        <v>47660.913</v>
      </c>
      <c r="S403" s="52" t="b">
        <v>1</v>
      </c>
      <c r="T403" s="52">
        <v>3</v>
      </c>
      <c r="U403" s="52">
        <v>16</v>
      </c>
    </row>
    <row r="404" spans="1:21" x14ac:dyDescent="0.25">
      <c r="A404" s="52">
        <v>90</v>
      </c>
      <c r="B404" s="52" t="s">
        <v>284</v>
      </c>
      <c r="C404" s="52" t="b">
        <v>0</v>
      </c>
      <c r="D404" s="52" t="s">
        <v>285</v>
      </c>
      <c r="E404" s="52" t="s">
        <v>45</v>
      </c>
      <c r="F404" s="52" t="s">
        <v>38</v>
      </c>
      <c r="G404" s="52" t="s">
        <v>10</v>
      </c>
      <c r="H404" s="52" t="s">
        <v>39</v>
      </c>
      <c r="I404" s="52" t="s">
        <v>40</v>
      </c>
      <c r="J404" s="52">
        <v>0</v>
      </c>
      <c r="K404" s="52" t="s">
        <v>160</v>
      </c>
      <c r="L404" s="52" t="s">
        <v>160</v>
      </c>
      <c r="M404" s="52" t="s">
        <v>41</v>
      </c>
      <c r="N404" s="52">
        <v>0</v>
      </c>
      <c r="O404" s="52" t="s">
        <v>160</v>
      </c>
      <c r="P404" s="52" t="s">
        <v>160</v>
      </c>
      <c r="Q404" s="52" t="b">
        <v>0</v>
      </c>
      <c r="R404" s="52">
        <v>161088.065</v>
      </c>
      <c r="S404" s="52" t="b">
        <v>1</v>
      </c>
      <c r="T404" s="52">
        <v>3</v>
      </c>
      <c r="U404" s="52">
        <v>49</v>
      </c>
    </row>
    <row r="405" spans="1:21" x14ac:dyDescent="0.25">
      <c r="A405" s="52">
        <v>91</v>
      </c>
      <c r="B405" s="52" t="s">
        <v>286</v>
      </c>
      <c r="C405" s="52" t="b">
        <v>0</v>
      </c>
      <c r="D405" s="52" t="s">
        <v>287</v>
      </c>
      <c r="E405" s="52" t="s">
        <v>37</v>
      </c>
      <c r="F405" s="52" t="s">
        <v>38</v>
      </c>
      <c r="G405" s="52" t="s">
        <v>11</v>
      </c>
      <c r="H405" s="52" t="s">
        <v>39</v>
      </c>
      <c r="I405" s="52" t="s">
        <v>47</v>
      </c>
      <c r="J405" s="52">
        <v>0</v>
      </c>
      <c r="K405" s="52" t="s">
        <v>160</v>
      </c>
      <c r="L405" s="52" t="s">
        <v>160</v>
      </c>
      <c r="M405" s="52">
        <v>25.697582834464512</v>
      </c>
      <c r="N405" s="52">
        <v>0.97726956177526103</v>
      </c>
      <c r="O405" s="52">
        <v>25.697582834464512</v>
      </c>
      <c r="P405" s="52" t="s">
        <v>160</v>
      </c>
      <c r="Q405" s="52" t="b">
        <v>0</v>
      </c>
      <c r="R405" s="52">
        <v>74142.899999999994</v>
      </c>
      <c r="S405" s="52" t="b">
        <v>1</v>
      </c>
      <c r="T405" s="52">
        <v>3</v>
      </c>
      <c r="U405" s="52">
        <v>17</v>
      </c>
    </row>
    <row r="406" spans="1:21" x14ac:dyDescent="0.25">
      <c r="A406" s="52">
        <v>91</v>
      </c>
      <c r="B406" s="52" t="s">
        <v>286</v>
      </c>
      <c r="C406" s="52" t="b">
        <v>0</v>
      </c>
      <c r="D406" s="52" t="s">
        <v>287</v>
      </c>
      <c r="E406" s="52" t="s">
        <v>42</v>
      </c>
      <c r="F406" s="52" t="s">
        <v>38</v>
      </c>
      <c r="G406" s="52" t="s">
        <v>13</v>
      </c>
      <c r="H406" s="52" t="s">
        <v>39</v>
      </c>
      <c r="I406" s="52" t="s">
        <v>47</v>
      </c>
      <c r="J406" s="52">
        <v>0</v>
      </c>
      <c r="K406" s="52" t="s">
        <v>160</v>
      </c>
      <c r="L406" s="52" t="s">
        <v>160</v>
      </c>
      <c r="M406" s="52">
        <v>28.235618636141147</v>
      </c>
      <c r="N406" s="52">
        <v>0.92391197588499652</v>
      </c>
      <c r="O406" s="52">
        <v>28.235618636141147</v>
      </c>
      <c r="P406" s="52" t="s">
        <v>160</v>
      </c>
      <c r="Q406" s="52" t="b">
        <v>0</v>
      </c>
      <c r="R406" s="52">
        <v>46910.862999999998</v>
      </c>
      <c r="S406" s="52" t="b">
        <v>1</v>
      </c>
      <c r="T406" s="52">
        <v>3</v>
      </c>
      <c r="U406" s="52">
        <v>21</v>
      </c>
    </row>
    <row r="407" spans="1:21" x14ac:dyDescent="0.25">
      <c r="A407" s="52">
        <v>91</v>
      </c>
      <c r="B407" s="52" t="s">
        <v>286</v>
      </c>
      <c r="C407" s="52" t="b">
        <v>0</v>
      </c>
      <c r="D407" s="52" t="s">
        <v>287</v>
      </c>
      <c r="E407" s="52" t="s">
        <v>43</v>
      </c>
      <c r="F407" s="52" t="s">
        <v>38</v>
      </c>
      <c r="G407" s="52" t="s">
        <v>12</v>
      </c>
      <c r="H407" s="52" t="s">
        <v>39</v>
      </c>
      <c r="I407" s="52" t="s">
        <v>40</v>
      </c>
      <c r="J407" s="52">
        <v>0</v>
      </c>
      <c r="K407" s="52" t="s">
        <v>160</v>
      </c>
      <c r="L407" s="52" t="s">
        <v>160</v>
      </c>
      <c r="M407" s="52" t="s">
        <v>41</v>
      </c>
      <c r="N407" s="52">
        <v>0</v>
      </c>
      <c r="O407" s="52" t="s">
        <v>160</v>
      </c>
      <c r="P407" s="52" t="s">
        <v>160</v>
      </c>
      <c r="Q407" s="52" t="b">
        <v>0</v>
      </c>
      <c r="R407" s="52">
        <v>69932.437000000005</v>
      </c>
      <c r="S407" s="52" t="b">
        <v>1</v>
      </c>
      <c r="T407" s="52">
        <v>3</v>
      </c>
      <c r="U407" s="52">
        <v>49</v>
      </c>
    </row>
    <row r="408" spans="1:21" x14ac:dyDescent="0.25">
      <c r="A408" s="52">
        <v>91</v>
      </c>
      <c r="B408" s="52" t="s">
        <v>286</v>
      </c>
      <c r="C408" s="52" t="b">
        <v>0</v>
      </c>
      <c r="D408" s="52" t="s">
        <v>287</v>
      </c>
      <c r="E408" s="52" t="s">
        <v>44</v>
      </c>
      <c r="F408" s="52" t="s">
        <v>38</v>
      </c>
      <c r="G408" s="52" t="s">
        <v>14</v>
      </c>
      <c r="H408" s="52" t="s">
        <v>39</v>
      </c>
      <c r="I408" s="52" t="s">
        <v>47</v>
      </c>
      <c r="J408" s="52">
        <v>2.6923821178354705</v>
      </c>
      <c r="K408" s="52" t="s">
        <v>160</v>
      </c>
      <c r="L408" s="52" t="s">
        <v>160</v>
      </c>
      <c r="M408" s="52">
        <v>24.395818447107686</v>
      </c>
      <c r="N408" s="52">
        <v>0.92635876329951217</v>
      </c>
      <c r="O408" s="52">
        <v>24.395818447107686</v>
      </c>
      <c r="P408" s="52" t="s">
        <v>160</v>
      </c>
      <c r="Q408" s="52" t="b">
        <v>0</v>
      </c>
      <c r="R408" s="52">
        <v>47660.913</v>
      </c>
      <c r="S408" s="52" t="b">
        <v>1</v>
      </c>
      <c r="T408" s="52">
        <v>3</v>
      </c>
      <c r="U408" s="52">
        <v>17</v>
      </c>
    </row>
    <row r="409" spans="1:21" x14ac:dyDescent="0.25">
      <c r="A409" s="52">
        <v>91</v>
      </c>
      <c r="B409" s="52" t="s">
        <v>286</v>
      </c>
      <c r="C409" s="52" t="b">
        <v>0</v>
      </c>
      <c r="D409" s="52" t="s">
        <v>287</v>
      </c>
      <c r="E409" s="52" t="s">
        <v>45</v>
      </c>
      <c r="F409" s="52" t="s">
        <v>38</v>
      </c>
      <c r="G409" s="52" t="s">
        <v>10</v>
      </c>
      <c r="H409" s="52" t="s">
        <v>39</v>
      </c>
      <c r="I409" s="52" t="s">
        <v>139</v>
      </c>
      <c r="J409" s="52">
        <v>0</v>
      </c>
      <c r="K409" s="52" t="s">
        <v>160</v>
      </c>
      <c r="L409" s="52" t="s">
        <v>160</v>
      </c>
      <c r="M409" s="52" t="s">
        <v>41</v>
      </c>
      <c r="N409" s="52">
        <v>0</v>
      </c>
      <c r="O409" s="52" t="s">
        <v>160</v>
      </c>
      <c r="P409" s="52" t="s">
        <v>160</v>
      </c>
      <c r="Q409" s="52" t="b">
        <v>0</v>
      </c>
      <c r="R409" s="52">
        <v>161088.065</v>
      </c>
      <c r="S409" s="52" t="b">
        <v>1</v>
      </c>
      <c r="T409" s="52">
        <v>3</v>
      </c>
      <c r="U409" s="52">
        <v>49</v>
      </c>
    </row>
    <row r="410" spans="1:21" x14ac:dyDescent="0.25">
      <c r="A410" s="52">
        <v>92</v>
      </c>
      <c r="B410" s="52" t="s">
        <v>288</v>
      </c>
      <c r="C410" s="52" t="b">
        <v>0</v>
      </c>
      <c r="D410" s="52" t="s">
        <v>289</v>
      </c>
      <c r="E410" s="52" t="s">
        <v>37</v>
      </c>
      <c r="F410" s="52" t="s">
        <v>38</v>
      </c>
      <c r="G410" s="52" t="s">
        <v>11</v>
      </c>
      <c r="H410" s="52" t="s">
        <v>39</v>
      </c>
      <c r="I410" s="52" t="s">
        <v>47</v>
      </c>
      <c r="J410" s="52">
        <v>0</v>
      </c>
      <c r="K410" s="52" t="s">
        <v>160</v>
      </c>
      <c r="L410" s="52" t="s">
        <v>160</v>
      </c>
      <c r="M410" s="52">
        <v>25.446067040910215</v>
      </c>
      <c r="N410" s="52">
        <v>0.97781612441116172</v>
      </c>
      <c r="O410" s="52">
        <v>25.446067040910215</v>
      </c>
      <c r="P410" s="52" t="s">
        <v>160</v>
      </c>
      <c r="Q410" s="52" t="b">
        <v>0</v>
      </c>
      <c r="R410" s="52">
        <v>74142.899999999994</v>
      </c>
      <c r="S410" s="52" t="b">
        <v>1</v>
      </c>
      <c r="T410" s="52">
        <v>3</v>
      </c>
      <c r="U410" s="52">
        <v>17</v>
      </c>
    </row>
    <row r="411" spans="1:21" x14ac:dyDescent="0.25">
      <c r="A411" s="52">
        <v>92</v>
      </c>
      <c r="B411" s="52" t="s">
        <v>288</v>
      </c>
      <c r="C411" s="52" t="b">
        <v>0</v>
      </c>
      <c r="D411" s="52" t="s">
        <v>289</v>
      </c>
      <c r="E411" s="52" t="s">
        <v>42</v>
      </c>
      <c r="F411" s="52" t="s">
        <v>38</v>
      </c>
      <c r="G411" s="52" t="s">
        <v>13</v>
      </c>
      <c r="H411" s="52" t="s">
        <v>39</v>
      </c>
      <c r="I411" s="52" t="s">
        <v>47</v>
      </c>
      <c r="J411" s="52">
        <v>0</v>
      </c>
      <c r="K411" s="52" t="s">
        <v>160</v>
      </c>
      <c r="L411" s="52" t="s">
        <v>160</v>
      </c>
      <c r="M411" s="52">
        <v>28.243365600355084</v>
      </c>
      <c r="N411" s="52">
        <v>0.89544017143575039</v>
      </c>
      <c r="O411" s="52">
        <v>28.243365600355084</v>
      </c>
      <c r="P411" s="52" t="s">
        <v>160</v>
      </c>
      <c r="Q411" s="52" t="b">
        <v>0</v>
      </c>
      <c r="R411" s="52">
        <v>46910.862999999998</v>
      </c>
      <c r="S411" s="52" t="b">
        <v>1</v>
      </c>
      <c r="T411" s="52">
        <v>3</v>
      </c>
      <c r="U411" s="52">
        <v>21</v>
      </c>
    </row>
    <row r="412" spans="1:21" x14ac:dyDescent="0.25">
      <c r="A412" s="52">
        <v>92</v>
      </c>
      <c r="B412" s="52" t="s">
        <v>288</v>
      </c>
      <c r="C412" s="52" t="b">
        <v>0</v>
      </c>
      <c r="D412" s="52" t="s">
        <v>289</v>
      </c>
      <c r="E412" s="52" t="s">
        <v>43</v>
      </c>
      <c r="F412" s="52" t="s">
        <v>38</v>
      </c>
      <c r="G412" s="52" t="s">
        <v>12</v>
      </c>
      <c r="H412" s="52" t="s">
        <v>39</v>
      </c>
      <c r="I412" s="52" t="s">
        <v>40</v>
      </c>
      <c r="J412" s="52">
        <v>0</v>
      </c>
      <c r="K412" s="52" t="s">
        <v>160</v>
      </c>
      <c r="L412" s="52" t="s">
        <v>160</v>
      </c>
      <c r="M412" s="52" t="s">
        <v>41</v>
      </c>
      <c r="N412" s="52">
        <v>0</v>
      </c>
      <c r="O412" s="52" t="s">
        <v>160</v>
      </c>
      <c r="P412" s="52" t="s">
        <v>160</v>
      </c>
      <c r="Q412" s="52" t="b">
        <v>0</v>
      </c>
      <c r="R412" s="52">
        <v>69932.437000000005</v>
      </c>
      <c r="S412" s="52" t="b">
        <v>1</v>
      </c>
      <c r="T412" s="52">
        <v>3</v>
      </c>
      <c r="U412" s="52">
        <v>49</v>
      </c>
    </row>
    <row r="413" spans="1:21" x14ac:dyDescent="0.25">
      <c r="A413" s="52">
        <v>92</v>
      </c>
      <c r="B413" s="52" t="s">
        <v>288</v>
      </c>
      <c r="C413" s="52" t="b">
        <v>0</v>
      </c>
      <c r="D413" s="52" t="s">
        <v>289</v>
      </c>
      <c r="E413" s="52" t="s">
        <v>44</v>
      </c>
      <c r="F413" s="52" t="s">
        <v>38</v>
      </c>
      <c r="G413" s="52" t="s">
        <v>14</v>
      </c>
      <c r="H413" s="52" t="s">
        <v>39</v>
      </c>
      <c r="I413" s="52" t="s">
        <v>47</v>
      </c>
      <c r="J413" s="52">
        <v>2.6782567833316571</v>
      </c>
      <c r="K413" s="52" t="s">
        <v>160</v>
      </c>
      <c r="L413" s="52" t="s">
        <v>160</v>
      </c>
      <c r="M413" s="52">
        <v>24.720317937642569</v>
      </c>
      <c r="N413" s="52">
        <v>0.92606854706258279</v>
      </c>
      <c r="O413" s="52">
        <v>24.720317937642569</v>
      </c>
      <c r="P413" s="52" t="s">
        <v>160</v>
      </c>
      <c r="Q413" s="52" t="b">
        <v>0</v>
      </c>
      <c r="R413" s="52">
        <v>47660.913</v>
      </c>
      <c r="S413" s="52" t="b">
        <v>1</v>
      </c>
      <c r="T413" s="52">
        <v>3</v>
      </c>
      <c r="U413" s="52">
        <v>18</v>
      </c>
    </row>
    <row r="414" spans="1:21" x14ac:dyDescent="0.25">
      <c r="A414" s="52">
        <v>92</v>
      </c>
      <c r="B414" s="52" t="s">
        <v>288</v>
      </c>
      <c r="C414" s="52" t="b">
        <v>0</v>
      </c>
      <c r="D414" s="52" t="s">
        <v>289</v>
      </c>
      <c r="E414" s="52" t="s">
        <v>45</v>
      </c>
      <c r="F414" s="52" t="s">
        <v>38</v>
      </c>
      <c r="G414" s="52" t="s">
        <v>10</v>
      </c>
      <c r="H414" s="52" t="s">
        <v>39</v>
      </c>
      <c r="I414" s="52" t="s">
        <v>40</v>
      </c>
      <c r="J414" s="52">
        <v>0</v>
      </c>
      <c r="K414" s="52" t="s">
        <v>160</v>
      </c>
      <c r="L414" s="52" t="s">
        <v>160</v>
      </c>
      <c r="M414" s="52" t="s">
        <v>41</v>
      </c>
      <c r="N414" s="52">
        <v>0</v>
      </c>
      <c r="O414" s="52" t="s">
        <v>160</v>
      </c>
      <c r="P414" s="52" t="s">
        <v>160</v>
      </c>
      <c r="Q414" s="52" t="b">
        <v>0</v>
      </c>
      <c r="R414" s="52">
        <v>161088.065</v>
      </c>
      <c r="S414" s="52" t="b">
        <v>1</v>
      </c>
      <c r="T414" s="52">
        <v>3</v>
      </c>
      <c r="U414" s="52">
        <v>49</v>
      </c>
    </row>
    <row r="415" spans="1:21" x14ac:dyDescent="0.25">
      <c r="A415" s="52">
        <v>93</v>
      </c>
      <c r="B415" s="52" t="s">
        <v>290</v>
      </c>
      <c r="C415" s="52" t="b">
        <v>0</v>
      </c>
      <c r="D415" s="52" t="s">
        <v>291</v>
      </c>
      <c r="E415" s="52" t="s">
        <v>37</v>
      </c>
      <c r="F415" s="52" t="s">
        <v>38</v>
      </c>
      <c r="G415" s="52" t="s">
        <v>11</v>
      </c>
      <c r="H415" s="52" t="s">
        <v>39</v>
      </c>
      <c r="I415" s="52" t="s">
        <v>47</v>
      </c>
      <c r="J415" s="52">
        <v>2.800188141781947</v>
      </c>
      <c r="K415" s="52" t="s">
        <v>160</v>
      </c>
      <c r="L415" s="52" t="s">
        <v>160</v>
      </c>
      <c r="M415" s="52">
        <v>28.92463278637765</v>
      </c>
      <c r="N415" s="52">
        <v>0.97325086141017025</v>
      </c>
      <c r="O415" s="52">
        <v>28.92463278637765</v>
      </c>
      <c r="P415" s="52" t="s">
        <v>160</v>
      </c>
      <c r="Q415" s="52" t="b">
        <v>0</v>
      </c>
      <c r="R415" s="52">
        <v>74142.899999999994</v>
      </c>
      <c r="S415" s="52" t="b">
        <v>1</v>
      </c>
      <c r="T415" s="52">
        <v>3</v>
      </c>
      <c r="U415" s="52">
        <v>20</v>
      </c>
    </row>
    <row r="416" spans="1:21" x14ac:dyDescent="0.25">
      <c r="A416" s="52">
        <v>93</v>
      </c>
      <c r="B416" s="52" t="s">
        <v>290</v>
      </c>
      <c r="C416" s="52" t="b">
        <v>0</v>
      </c>
      <c r="D416" s="52" t="s">
        <v>291</v>
      </c>
      <c r="E416" s="52" t="s">
        <v>42</v>
      </c>
      <c r="F416" s="52" t="s">
        <v>38</v>
      </c>
      <c r="G416" s="52" t="s">
        <v>13</v>
      </c>
      <c r="H416" s="52" t="s">
        <v>39</v>
      </c>
      <c r="I416" s="52" t="s">
        <v>47</v>
      </c>
      <c r="J416" s="52">
        <v>2.725846023392541</v>
      </c>
      <c r="K416" s="52" t="s">
        <v>160</v>
      </c>
      <c r="L416" s="52" t="s">
        <v>160</v>
      </c>
      <c r="M416" s="52">
        <v>31.170209355548003</v>
      </c>
      <c r="N416" s="52">
        <v>0.91989599657969312</v>
      </c>
      <c r="O416" s="52">
        <v>31.170209355548003</v>
      </c>
      <c r="P416" s="52" t="s">
        <v>160</v>
      </c>
      <c r="Q416" s="52" t="b">
        <v>0</v>
      </c>
      <c r="R416" s="52">
        <v>46910.862999999998</v>
      </c>
      <c r="S416" s="52" t="b">
        <v>1</v>
      </c>
      <c r="T416" s="52">
        <v>3</v>
      </c>
      <c r="U416" s="52">
        <v>24</v>
      </c>
    </row>
    <row r="417" spans="1:21" x14ac:dyDescent="0.25">
      <c r="A417" s="52">
        <v>93</v>
      </c>
      <c r="B417" s="52" t="s">
        <v>290</v>
      </c>
      <c r="C417" s="52" t="b">
        <v>0</v>
      </c>
      <c r="D417" s="52" t="s">
        <v>291</v>
      </c>
      <c r="E417" s="52" t="s">
        <v>43</v>
      </c>
      <c r="F417" s="52" t="s">
        <v>38</v>
      </c>
      <c r="G417" s="52" t="s">
        <v>12</v>
      </c>
      <c r="H417" s="52" t="s">
        <v>39</v>
      </c>
      <c r="I417" s="52" t="s">
        <v>139</v>
      </c>
      <c r="J417" s="52">
        <v>0</v>
      </c>
      <c r="K417" s="52" t="s">
        <v>160</v>
      </c>
      <c r="L417" s="52" t="s">
        <v>160</v>
      </c>
      <c r="M417" s="52" t="s">
        <v>41</v>
      </c>
      <c r="N417" s="52">
        <v>0</v>
      </c>
      <c r="O417" s="52" t="s">
        <v>160</v>
      </c>
      <c r="P417" s="52" t="s">
        <v>160</v>
      </c>
      <c r="Q417" s="52" t="b">
        <v>0</v>
      </c>
      <c r="R417" s="52">
        <v>69932.437000000005</v>
      </c>
      <c r="S417" s="52" t="b">
        <v>1</v>
      </c>
      <c r="T417" s="52">
        <v>3</v>
      </c>
      <c r="U417" s="52">
        <v>49</v>
      </c>
    </row>
    <row r="418" spans="1:21" x14ac:dyDescent="0.25">
      <c r="A418" s="52">
        <v>93</v>
      </c>
      <c r="B418" s="52" t="s">
        <v>290</v>
      </c>
      <c r="C418" s="52" t="b">
        <v>0</v>
      </c>
      <c r="D418" s="52" t="s">
        <v>291</v>
      </c>
      <c r="E418" s="52" t="s">
        <v>44</v>
      </c>
      <c r="F418" s="52" t="s">
        <v>38</v>
      </c>
      <c r="G418" s="52" t="s">
        <v>14</v>
      </c>
      <c r="H418" s="52" t="s">
        <v>39</v>
      </c>
      <c r="I418" s="52" t="s">
        <v>47</v>
      </c>
      <c r="J418" s="52">
        <v>2.6596663904957265</v>
      </c>
      <c r="K418" s="52" t="s">
        <v>160</v>
      </c>
      <c r="L418" s="52" t="s">
        <v>160</v>
      </c>
      <c r="M418" s="52">
        <v>26.124265296031364</v>
      </c>
      <c r="N418" s="52">
        <v>0.90816397325569242</v>
      </c>
      <c r="O418" s="52">
        <v>26.124265296031364</v>
      </c>
      <c r="P418" s="52" t="s">
        <v>160</v>
      </c>
      <c r="Q418" s="52" t="b">
        <v>0</v>
      </c>
      <c r="R418" s="52">
        <v>47660.913</v>
      </c>
      <c r="S418" s="52" t="b">
        <v>1</v>
      </c>
      <c r="T418" s="52">
        <v>3</v>
      </c>
      <c r="U418" s="52">
        <v>18</v>
      </c>
    </row>
    <row r="419" spans="1:21" x14ac:dyDescent="0.25">
      <c r="A419" s="52">
        <v>93</v>
      </c>
      <c r="B419" s="52" t="s">
        <v>290</v>
      </c>
      <c r="C419" s="52" t="b">
        <v>0</v>
      </c>
      <c r="D419" s="52" t="s">
        <v>291</v>
      </c>
      <c r="E419" s="52" t="s">
        <v>45</v>
      </c>
      <c r="F419" s="52" t="s">
        <v>38</v>
      </c>
      <c r="G419" s="52" t="s">
        <v>10</v>
      </c>
      <c r="H419" s="52" t="s">
        <v>39</v>
      </c>
      <c r="I419" s="52" t="s">
        <v>139</v>
      </c>
      <c r="J419" s="52">
        <v>0</v>
      </c>
      <c r="K419" s="52" t="s">
        <v>160</v>
      </c>
      <c r="L419" s="52" t="s">
        <v>160</v>
      </c>
      <c r="M419" s="52" t="s">
        <v>41</v>
      </c>
      <c r="N419" s="52">
        <v>0</v>
      </c>
      <c r="O419" s="52" t="s">
        <v>160</v>
      </c>
      <c r="P419" s="52" t="s">
        <v>160</v>
      </c>
      <c r="Q419" s="52" t="b">
        <v>0</v>
      </c>
      <c r="R419" s="52">
        <v>161088.065</v>
      </c>
      <c r="S419" s="52" t="b">
        <v>1</v>
      </c>
      <c r="T419" s="52">
        <v>3</v>
      </c>
      <c r="U419" s="52">
        <v>49</v>
      </c>
    </row>
    <row r="420" spans="1:21" x14ac:dyDescent="0.25">
      <c r="A420" s="52">
        <v>94</v>
      </c>
      <c r="B420" s="52" t="s">
        <v>202</v>
      </c>
      <c r="C420" s="52" t="b">
        <v>0</v>
      </c>
      <c r="D420" s="52" t="s">
        <v>292</v>
      </c>
      <c r="E420" s="52" t="s">
        <v>37</v>
      </c>
      <c r="F420" s="52" t="s">
        <v>38</v>
      </c>
      <c r="G420" s="52" t="s">
        <v>11</v>
      </c>
      <c r="H420" s="52" t="s">
        <v>39</v>
      </c>
      <c r="I420" s="52" t="s">
        <v>47</v>
      </c>
      <c r="J420" s="52">
        <v>2.8059951730998178</v>
      </c>
      <c r="K420" s="52" t="s">
        <v>160</v>
      </c>
      <c r="L420" s="52" t="s">
        <v>160</v>
      </c>
      <c r="M420" s="52">
        <v>27.584446217015866</v>
      </c>
      <c r="N420" s="52">
        <v>0.96334084779513507</v>
      </c>
      <c r="O420" s="52">
        <v>27.584446217015866</v>
      </c>
      <c r="P420" s="52" t="s">
        <v>160</v>
      </c>
      <c r="Q420" s="52" t="b">
        <v>0</v>
      </c>
      <c r="R420" s="52">
        <v>74142.899999999994</v>
      </c>
      <c r="S420" s="52" t="b">
        <v>1</v>
      </c>
      <c r="T420" s="52">
        <v>3</v>
      </c>
      <c r="U420" s="52">
        <v>19</v>
      </c>
    </row>
    <row r="421" spans="1:21" x14ac:dyDescent="0.25">
      <c r="A421" s="52">
        <v>94</v>
      </c>
      <c r="B421" s="52" t="s">
        <v>202</v>
      </c>
      <c r="C421" s="52" t="b">
        <v>0</v>
      </c>
      <c r="D421" s="52" t="s">
        <v>292</v>
      </c>
      <c r="E421" s="52" t="s">
        <v>42</v>
      </c>
      <c r="F421" s="52" t="s">
        <v>38</v>
      </c>
      <c r="G421" s="52" t="s">
        <v>13</v>
      </c>
      <c r="H421" s="52" t="s">
        <v>39</v>
      </c>
      <c r="I421" s="52" t="s">
        <v>47</v>
      </c>
      <c r="J421" s="52">
        <v>2.7432021322650635</v>
      </c>
      <c r="K421" s="52" t="s">
        <v>160</v>
      </c>
      <c r="L421" s="52" t="s">
        <v>160</v>
      </c>
      <c r="M421" s="52">
        <v>30.210178489929596</v>
      </c>
      <c r="N421" s="52">
        <v>0.92475069867574666</v>
      </c>
      <c r="O421" s="52">
        <v>30.210178489929596</v>
      </c>
      <c r="P421" s="52" t="s">
        <v>160</v>
      </c>
      <c r="Q421" s="52" t="b">
        <v>0</v>
      </c>
      <c r="R421" s="52">
        <v>46910.862999999998</v>
      </c>
      <c r="S421" s="52" t="b">
        <v>1</v>
      </c>
      <c r="T421" s="52">
        <v>3</v>
      </c>
      <c r="U421" s="52">
        <v>24</v>
      </c>
    </row>
    <row r="422" spans="1:21" x14ac:dyDescent="0.25">
      <c r="A422" s="52">
        <v>94</v>
      </c>
      <c r="B422" s="52" t="s">
        <v>202</v>
      </c>
      <c r="C422" s="52" t="b">
        <v>0</v>
      </c>
      <c r="D422" s="52" t="s">
        <v>292</v>
      </c>
      <c r="E422" s="52" t="s">
        <v>43</v>
      </c>
      <c r="F422" s="52" t="s">
        <v>38</v>
      </c>
      <c r="G422" s="52" t="s">
        <v>12</v>
      </c>
      <c r="H422" s="52" t="s">
        <v>39</v>
      </c>
      <c r="I422" s="52" t="s">
        <v>139</v>
      </c>
      <c r="J422" s="52">
        <v>0</v>
      </c>
      <c r="K422" s="52" t="s">
        <v>160</v>
      </c>
      <c r="L422" s="52" t="s">
        <v>160</v>
      </c>
      <c r="M422" s="52" t="s">
        <v>41</v>
      </c>
      <c r="N422" s="52">
        <v>0</v>
      </c>
      <c r="O422" s="52" t="s">
        <v>160</v>
      </c>
      <c r="P422" s="52" t="s">
        <v>160</v>
      </c>
      <c r="Q422" s="52" t="b">
        <v>0</v>
      </c>
      <c r="R422" s="52">
        <v>69932.437000000005</v>
      </c>
      <c r="S422" s="52" t="b">
        <v>1</v>
      </c>
      <c r="T422" s="52">
        <v>3</v>
      </c>
      <c r="U422" s="52">
        <v>49</v>
      </c>
    </row>
    <row r="423" spans="1:21" x14ac:dyDescent="0.25">
      <c r="A423" s="52">
        <v>94</v>
      </c>
      <c r="B423" s="52" t="s">
        <v>202</v>
      </c>
      <c r="C423" s="52" t="b">
        <v>0</v>
      </c>
      <c r="D423" s="52" t="s">
        <v>292</v>
      </c>
      <c r="E423" s="52" t="s">
        <v>44</v>
      </c>
      <c r="F423" s="52" t="s">
        <v>38</v>
      </c>
      <c r="G423" s="52" t="s">
        <v>14</v>
      </c>
      <c r="H423" s="52" t="s">
        <v>39</v>
      </c>
      <c r="I423" s="52" t="s">
        <v>47</v>
      </c>
      <c r="J423" s="52">
        <v>2.6446723453783973</v>
      </c>
      <c r="K423" s="52" t="s">
        <v>160</v>
      </c>
      <c r="L423" s="52" t="s">
        <v>160</v>
      </c>
      <c r="M423" s="52">
        <v>26.514884761124804</v>
      </c>
      <c r="N423" s="52">
        <v>0.96154687313322107</v>
      </c>
      <c r="O423" s="52">
        <v>26.514884761124804</v>
      </c>
      <c r="P423" s="52" t="s">
        <v>160</v>
      </c>
      <c r="Q423" s="52" t="b">
        <v>0</v>
      </c>
      <c r="R423" s="52">
        <v>47660.913</v>
      </c>
      <c r="S423" s="52" t="b">
        <v>1</v>
      </c>
      <c r="T423" s="52">
        <v>3</v>
      </c>
      <c r="U423" s="52">
        <v>18</v>
      </c>
    </row>
    <row r="424" spans="1:21" x14ac:dyDescent="0.25">
      <c r="A424" s="52">
        <v>94</v>
      </c>
      <c r="B424" s="52" t="s">
        <v>202</v>
      </c>
      <c r="C424" s="52" t="b">
        <v>0</v>
      </c>
      <c r="D424" s="52" t="s">
        <v>292</v>
      </c>
      <c r="E424" s="52" t="s">
        <v>45</v>
      </c>
      <c r="F424" s="52" t="s">
        <v>38</v>
      </c>
      <c r="G424" s="52" t="s">
        <v>10</v>
      </c>
      <c r="H424" s="52" t="s">
        <v>39</v>
      </c>
      <c r="I424" s="52" t="s">
        <v>139</v>
      </c>
      <c r="J424" s="52">
        <v>2.3023026774521642</v>
      </c>
      <c r="K424" s="52" t="s">
        <v>160</v>
      </c>
      <c r="L424" s="52" t="s">
        <v>160</v>
      </c>
      <c r="M424" s="52" t="s">
        <v>41</v>
      </c>
      <c r="N424" s="52">
        <v>0</v>
      </c>
      <c r="O424" s="52" t="s">
        <v>160</v>
      </c>
      <c r="P424" s="52" t="s">
        <v>160</v>
      </c>
      <c r="Q424" s="52" t="b">
        <v>0</v>
      </c>
      <c r="R424" s="52">
        <v>161088.065</v>
      </c>
      <c r="S424" s="52" t="b">
        <v>1</v>
      </c>
      <c r="T424" s="52">
        <v>3</v>
      </c>
      <c r="U424" s="52">
        <v>49</v>
      </c>
    </row>
    <row r="425" spans="1:21" x14ac:dyDescent="0.25">
      <c r="A425" s="52">
        <v>95</v>
      </c>
      <c r="B425" s="52" t="s">
        <v>204</v>
      </c>
      <c r="C425" s="52" t="b">
        <v>0</v>
      </c>
      <c r="D425" s="52" t="s">
        <v>205</v>
      </c>
      <c r="E425" s="52" t="s">
        <v>37</v>
      </c>
      <c r="F425" s="52" t="s">
        <v>38</v>
      </c>
      <c r="G425" s="52" t="s">
        <v>11</v>
      </c>
      <c r="H425" s="52" t="s">
        <v>39</v>
      </c>
      <c r="I425" s="52" t="s">
        <v>47</v>
      </c>
      <c r="J425" s="52">
        <v>2.8247235042851981</v>
      </c>
      <c r="K425" s="52" t="s">
        <v>160</v>
      </c>
      <c r="L425" s="52" t="s">
        <v>160</v>
      </c>
      <c r="M425" s="52">
        <v>16.466207682565205</v>
      </c>
      <c r="N425" s="52">
        <v>0.95532766567037097</v>
      </c>
      <c r="O425" s="52">
        <v>16.466207682565205</v>
      </c>
      <c r="P425" s="52" t="s">
        <v>160</v>
      </c>
      <c r="Q425" s="52" t="b">
        <v>0</v>
      </c>
      <c r="R425" s="52">
        <v>74142.899999999994</v>
      </c>
      <c r="S425" s="52" t="b">
        <v>1</v>
      </c>
      <c r="T425" s="52">
        <v>3</v>
      </c>
      <c r="U425" s="52">
        <v>10</v>
      </c>
    </row>
    <row r="426" spans="1:21" x14ac:dyDescent="0.25">
      <c r="A426" s="52">
        <v>95</v>
      </c>
      <c r="B426" s="52" t="s">
        <v>204</v>
      </c>
      <c r="C426" s="52" t="b">
        <v>0</v>
      </c>
      <c r="D426" s="52" t="s">
        <v>205</v>
      </c>
      <c r="E426" s="52" t="s">
        <v>42</v>
      </c>
      <c r="F426" s="52" t="s">
        <v>38</v>
      </c>
      <c r="G426" s="52" t="s">
        <v>13</v>
      </c>
      <c r="H426" s="52" t="s">
        <v>39</v>
      </c>
      <c r="I426" s="52" t="s">
        <v>47</v>
      </c>
      <c r="J426" s="52">
        <v>0</v>
      </c>
      <c r="K426" s="52" t="s">
        <v>160</v>
      </c>
      <c r="L426" s="52" t="s">
        <v>160</v>
      </c>
      <c r="M426" s="52">
        <v>24.221487049204093</v>
      </c>
      <c r="N426" s="52">
        <v>0.94835516124868346</v>
      </c>
      <c r="O426" s="52">
        <v>24.221487049204093</v>
      </c>
      <c r="P426" s="52" t="s">
        <v>160</v>
      </c>
      <c r="Q426" s="52" t="b">
        <v>0</v>
      </c>
      <c r="R426" s="52">
        <v>46910.862999999998</v>
      </c>
      <c r="S426" s="52" t="b">
        <v>1</v>
      </c>
      <c r="T426" s="52">
        <v>3</v>
      </c>
      <c r="U426" s="52">
        <v>18</v>
      </c>
    </row>
    <row r="427" spans="1:21" x14ac:dyDescent="0.25">
      <c r="A427" s="52">
        <v>95</v>
      </c>
      <c r="B427" s="52" t="s">
        <v>204</v>
      </c>
      <c r="C427" s="52" t="b">
        <v>0</v>
      </c>
      <c r="D427" s="52" t="s">
        <v>205</v>
      </c>
      <c r="E427" s="52" t="s">
        <v>43</v>
      </c>
      <c r="F427" s="52" t="s">
        <v>38</v>
      </c>
      <c r="G427" s="52" t="s">
        <v>12</v>
      </c>
      <c r="H427" s="52" t="s">
        <v>39</v>
      </c>
      <c r="I427" s="52" t="s">
        <v>139</v>
      </c>
      <c r="J427" s="52">
        <v>0</v>
      </c>
      <c r="K427" s="52" t="s">
        <v>160</v>
      </c>
      <c r="L427" s="52" t="s">
        <v>160</v>
      </c>
      <c r="M427" s="52" t="s">
        <v>41</v>
      </c>
      <c r="N427" s="52">
        <v>0</v>
      </c>
      <c r="O427" s="52" t="s">
        <v>160</v>
      </c>
      <c r="P427" s="52" t="s">
        <v>160</v>
      </c>
      <c r="Q427" s="52" t="b">
        <v>0</v>
      </c>
      <c r="R427" s="52">
        <v>69932.437000000005</v>
      </c>
      <c r="S427" s="52" t="b">
        <v>1</v>
      </c>
      <c r="T427" s="52">
        <v>3</v>
      </c>
      <c r="U427" s="52">
        <v>49</v>
      </c>
    </row>
    <row r="428" spans="1:21" x14ac:dyDescent="0.25">
      <c r="A428" s="52">
        <v>95</v>
      </c>
      <c r="B428" s="52" t="s">
        <v>204</v>
      </c>
      <c r="C428" s="52" t="b">
        <v>0</v>
      </c>
      <c r="D428" s="52" t="s">
        <v>205</v>
      </c>
      <c r="E428" s="52" t="s">
        <v>44</v>
      </c>
      <c r="F428" s="52" t="s">
        <v>38</v>
      </c>
      <c r="G428" s="52" t="s">
        <v>14</v>
      </c>
      <c r="H428" s="52" t="s">
        <v>39</v>
      </c>
      <c r="I428" s="52" t="s">
        <v>40</v>
      </c>
      <c r="J428" s="52">
        <v>0</v>
      </c>
      <c r="K428" s="52" t="s">
        <v>160</v>
      </c>
      <c r="L428" s="52" t="s">
        <v>160</v>
      </c>
      <c r="M428" s="52" t="s">
        <v>41</v>
      </c>
      <c r="N428" s="52">
        <v>0</v>
      </c>
      <c r="O428" s="52" t="s">
        <v>160</v>
      </c>
      <c r="P428" s="52" t="s">
        <v>160</v>
      </c>
      <c r="Q428" s="52" t="b">
        <v>0</v>
      </c>
      <c r="R428" s="52">
        <v>47660.913</v>
      </c>
      <c r="S428" s="52" t="b">
        <v>1</v>
      </c>
      <c r="T428" s="52">
        <v>3</v>
      </c>
      <c r="U428" s="52">
        <v>49</v>
      </c>
    </row>
    <row r="429" spans="1:21" x14ac:dyDescent="0.25">
      <c r="A429" s="52">
        <v>95</v>
      </c>
      <c r="B429" s="52" t="s">
        <v>204</v>
      </c>
      <c r="C429" s="52" t="b">
        <v>0</v>
      </c>
      <c r="D429" s="52" t="s">
        <v>205</v>
      </c>
      <c r="E429" s="52" t="s">
        <v>45</v>
      </c>
      <c r="F429" s="52" t="s">
        <v>38</v>
      </c>
      <c r="G429" s="52" t="s">
        <v>10</v>
      </c>
      <c r="H429" s="52" t="s">
        <v>39</v>
      </c>
      <c r="I429" s="52" t="s">
        <v>139</v>
      </c>
      <c r="J429" s="52">
        <v>0</v>
      </c>
      <c r="K429" s="52" t="s">
        <v>160</v>
      </c>
      <c r="L429" s="52" t="s">
        <v>160</v>
      </c>
      <c r="M429" s="52" t="s">
        <v>41</v>
      </c>
      <c r="N429" s="52">
        <v>0</v>
      </c>
      <c r="O429" s="52" t="s">
        <v>160</v>
      </c>
      <c r="P429" s="52" t="s">
        <v>160</v>
      </c>
      <c r="Q429" s="52" t="b">
        <v>0</v>
      </c>
      <c r="R429" s="52">
        <v>161088.065</v>
      </c>
      <c r="S429" s="52" t="b">
        <v>1</v>
      </c>
      <c r="T429" s="52">
        <v>3</v>
      </c>
      <c r="U429" s="52">
        <v>49</v>
      </c>
    </row>
    <row r="430" spans="1:21" x14ac:dyDescent="0.25">
      <c r="A430" s="52">
        <v>96</v>
      </c>
      <c r="B430" s="52" t="s">
        <v>206</v>
      </c>
      <c r="C430" s="52" t="b">
        <v>0</v>
      </c>
      <c r="D430" s="52" t="s">
        <v>207</v>
      </c>
      <c r="E430" s="52" t="s">
        <v>37</v>
      </c>
      <c r="F430" s="52" t="s">
        <v>38</v>
      </c>
      <c r="G430" s="52" t="s">
        <v>11</v>
      </c>
      <c r="H430" s="52" t="s">
        <v>39</v>
      </c>
      <c r="I430" s="52" t="s">
        <v>47</v>
      </c>
      <c r="J430" s="52">
        <v>0</v>
      </c>
      <c r="K430" s="52" t="s">
        <v>160</v>
      </c>
      <c r="L430" s="52" t="s">
        <v>160</v>
      </c>
      <c r="M430" s="52">
        <v>24.817078095154827</v>
      </c>
      <c r="N430" s="52">
        <v>0.97434124984957371</v>
      </c>
      <c r="O430" s="52">
        <v>24.817078095154827</v>
      </c>
      <c r="P430" s="52" t="s">
        <v>160</v>
      </c>
      <c r="Q430" s="52" t="b">
        <v>0</v>
      </c>
      <c r="R430" s="52">
        <v>74142.899999999994</v>
      </c>
      <c r="S430" s="52" t="b">
        <v>1</v>
      </c>
      <c r="T430" s="52">
        <v>3</v>
      </c>
      <c r="U430" s="52">
        <v>19</v>
      </c>
    </row>
    <row r="431" spans="1:21" x14ac:dyDescent="0.25">
      <c r="A431" s="52">
        <v>96</v>
      </c>
      <c r="B431" s="52" t="s">
        <v>206</v>
      </c>
      <c r="C431" s="52" t="b">
        <v>0</v>
      </c>
      <c r="D431" s="52" t="s">
        <v>207</v>
      </c>
      <c r="E431" s="52" t="s">
        <v>42</v>
      </c>
      <c r="F431" s="52" t="s">
        <v>38</v>
      </c>
      <c r="G431" s="52" t="s">
        <v>13</v>
      </c>
      <c r="H431" s="52" t="s">
        <v>39</v>
      </c>
      <c r="I431" s="52" t="s">
        <v>47</v>
      </c>
      <c r="J431" s="52">
        <v>0</v>
      </c>
      <c r="K431" s="52" t="s">
        <v>160</v>
      </c>
      <c r="L431" s="52" t="s">
        <v>160</v>
      </c>
      <c r="M431" s="52">
        <v>28.641541746552853</v>
      </c>
      <c r="N431" s="52">
        <v>0.94836113310589831</v>
      </c>
      <c r="O431" s="52">
        <v>28.641541746552853</v>
      </c>
      <c r="P431" s="52" t="s">
        <v>160</v>
      </c>
      <c r="Q431" s="52" t="b">
        <v>0</v>
      </c>
      <c r="R431" s="52">
        <v>46910.862999999998</v>
      </c>
      <c r="S431" s="52" t="b">
        <v>1</v>
      </c>
      <c r="T431" s="52">
        <v>3</v>
      </c>
      <c r="U431" s="52">
        <v>21</v>
      </c>
    </row>
    <row r="432" spans="1:21" x14ac:dyDescent="0.25">
      <c r="A432" s="52">
        <v>96</v>
      </c>
      <c r="B432" s="52" t="s">
        <v>206</v>
      </c>
      <c r="C432" s="52" t="b">
        <v>0</v>
      </c>
      <c r="D432" s="52" t="s">
        <v>207</v>
      </c>
      <c r="E432" s="52" t="s">
        <v>43</v>
      </c>
      <c r="F432" s="52" t="s">
        <v>38</v>
      </c>
      <c r="G432" s="52" t="s">
        <v>12</v>
      </c>
      <c r="H432" s="52" t="s">
        <v>39</v>
      </c>
      <c r="I432" s="52" t="s">
        <v>139</v>
      </c>
      <c r="J432" s="52">
        <v>0</v>
      </c>
      <c r="K432" s="52" t="s">
        <v>160</v>
      </c>
      <c r="L432" s="52" t="s">
        <v>160</v>
      </c>
      <c r="M432" s="52" t="s">
        <v>41</v>
      </c>
      <c r="N432" s="52">
        <v>0</v>
      </c>
      <c r="O432" s="52" t="s">
        <v>160</v>
      </c>
      <c r="P432" s="52" t="s">
        <v>160</v>
      </c>
      <c r="Q432" s="52" t="b">
        <v>0</v>
      </c>
      <c r="R432" s="52">
        <v>69932.437000000005</v>
      </c>
      <c r="S432" s="52" t="b">
        <v>1</v>
      </c>
      <c r="T432" s="52">
        <v>3</v>
      </c>
      <c r="U432" s="52">
        <v>49</v>
      </c>
    </row>
    <row r="433" spans="1:21" x14ac:dyDescent="0.25">
      <c r="A433" s="52">
        <v>96</v>
      </c>
      <c r="B433" s="52" t="s">
        <v>206</v>
      </c>
      <c r="C433" s="52" t="b">
        <v>0</v>
      </c>
      <c r="D433" s="52" t="s">
        <v>207</v>
      </c>
      <c r="E433" s="52" t="s">
        <v>44</v>
      </c>
      <c r="F433" s="52" t="s">
        <v>38</v>
      </c>
      <c r="G433" s="52" t="s">
        <v>14</v>
      </c>
      <c r="H433" s="52" t="s">
        <v>39</v>
      </c>
      <c r="I433" s="52" t="s">
        <v>40</v>
      </c>
      <c r="J433" s="52">
        <v>0</v>
      </c>
      <c r="K433" s="52" t="s">
        <v>160</v>
      </c>
      <c r="L433" s="52" t="s">
        <v>160</v>
      </c>
      <c r="M433" s="52" t="s">
        <v>41</v>
      </c>
      <c r="N433" s="52">
        <v>0</v>
      </c>
      <c r="O433" s="52" t="s">
        <v>160</v>
      </c>
      <c r="P433" s="52" t="s">
        <v>160</v>
      </c>
      <c r="Q433" s="52" t="b">
        <v>0</v>
      </c>
      <c r="R433" s="52">
        <v>47660.913</v>
      </c>
      <c r="S433" s="52" t="b">
        <v>1</v>
      </c>
      <c r="T433" s="52">
        <v>3</v>
      </c>
      <c r="U433" s="52">
        <v>49</v>
      </c>
    </row>
    <row r="434" spans="1:21" x14ac:dyDescent="0.25">
      <c r="A434" s="52">
        <v>96</v>
      </c>
      <c r="B434" s="52" t="s">
        <v>206</v>
      </c>
      <c r="C434" s="52" t="b">
        <v>0</v>
      </c>
      <c r="D434" s="52" t="s">
        <v>207</v>
      </c>
      <c r="E434" s="52" t="s">
        <v>45</v>
      </c>
      <c r="F434" s="52" t="s">
        <v>38</v>
      </c>
      <c r="G434" s="52" t="s">
        <v>10</v>
      </c>
      <c r="H434" s="52" t="s">
        <v>39</v>
      </c>
      <c r="I434" s="52" t="s">
        <v>139</v>
      </c>
      <c r="J434" s="52">
        <v>0</v>
      </c>
      <c r="K434" s="52" t="s">
        <v>160</v>
      </c>
      <c r="L434" s="52" t="s">
        <v>160</v>
      </c>
      <c r="M434" s="52" t="s">
        <v>41</v>
      </c>
      <c r="N434" s="52">
        <v>0</v>
      </c>
      <c r="O434" s="52" t="s">
        <v>160</v>
      </c>
      <c r="P434" s="52" t="s">
        <v>160</v>
      </c>
      <c r="Q434" s="52" t="b">
        <v>0</v>
      </c>
      <c r="R434" s="52">
        <v>161088.065</v>
      </c>
      <c r="S434" s="52" t="b">
        <v>1</v>
      </c>
      <c r="T434" s="52">
        <v>3</v>
      </c>
      <c r="U434" s="52">
        <v>49</v>
      </c>
    </row>
    <row r="435" spans="1:21" x14ac:dyDescent="0.25">
      <c r="J435" s="51"/>
      <c r="M435" s="51"/>
      <c r="N435" s="51"/>
      <c r="O435" s="51"/>
      <c r="P435" s="51"/>
    </row>
    <row r="436" spans="1:21" x14ac:dyDescent="0.25">
      <c r="J436" s="51"/>
      <c r="M436" s="51"/>
      <c r="N436" s="51"/>
      <c r="O436" s="51"/>
      <c r="P436" s="51"/>
    </row>
    <row r="437" spans="1:21" x14ac:dyDescent="0.25">
      <c r="J437" s="51"/>
    </row>
    <row r="438" spans="1:21" x14ac:dyDescent="0.25">
      <c r="M438" s="51"/>
      <c r="O438" s="51"/>
      <c r="P438" s="51"/>
    </row>
    <row r="439" spans="1:21" x14ac:dyDescent="0.25">
      <c r="J439" s="51"/>
    </row>
    <row r="440" spans="1:21" x14ac:dyDescent="0.25">
      <c r="N440" s="51"/>
      <c r="O440" s="51"/>
      <c r="P440" s="51"/>
    </row>
    <row r="441" spans="1:21" x14ac:dyDescent="0.25">
      <c r="M441" s="51"/>
      <c r="N441" s="51"/>
      <c r="O441" s="51"/>
      <c r="P441" s="51"/>
    </row>
    <row r="442" spans="1:21" x14ac:dyDescent="0.25">
      <c r="J442" s="51"/>
    </row>
    <row r="443" spans="1:21" x14ac:dyDescent="0.25">
      <c r="J443" s="51"/>
      <c r="N443" s="51"/>
      <c r="O443" s="51"/>
      <c r="P443" s="51"/>
    </row>
    <row r="444" spans="1:21" x14ac:dyDescent="0.25">
      <c r="J444" s="51"/>
    </row>
    <row r="445" spans="1:21" x14ac:dyDescent="0.25">
      <c r="J445" s="51"/>
      <c r="M445" s="51"/>
      <c r="N445" s="51"/>
      <c r="O445" s="51"/>
      <c r="P445" s="51"/>
    </row>
    <row r="448" spans="1:21" x14ac:dyDescent="0.25">
      <c r="J448" s="51"/>
      <c r="M448" s="51"/>
      <c r="N448" s="51"/>
      <c r="O448" s="51"/>
      <c r="P448" s="51"/>
    </row>
    <row r="449" spans="10:16" x14ac:dyDescent="0.25">
      <c r="J449" s="51"/>
    </row>
    <row r="450" spans="10:16" x14ac:dyDescent="0.25">
      <c r="J450" s="51"/>
      <c r="M450" s="51"/>
      <c r="N450" s="51"/>
      <c r="O450" s="51"/>
      <c r="P450" s="51"/>
    </row>
    <row r="451" spans="10:16" x14ac:dyDescent="0.25">
      <c r="J451" s="51"/>
      <c r="M451" s="51"/>
      <c r="O451" s="51"/>
      <c r="P451" s="51"/>
    </row>
    <row r="452" spans="10:16" x14ac:dyDescent="0.25">
      <c r="J452" s="51"/>
    </row>
    <row r="453" spans="10:16" x14ac:dyDescent="0.25">
      <c r="J453" s="51"/>
      <c r="M453" s="51"/>
      <c r="N453" s="51"/>
      <c r="O453" s="51"/>
      <c r="P453" s="51"/>
    </row>
    <row r="454" spans="10:16" x14ac:dyDescent="0.25">
      <c r="J454" s="51"/>
    </row>
    <row r="455" spans="10:16" x14ac:dyDescent="0.25">
      <c r="J455" s="51"/>
      <c r="M455" s="51"/>
      <c r="N455" s="51"/>
      <c r="O455" s="51"/>
      <c r="P455" s="51"/>
    </row>
    <row r="456" spans="10:16" x14ac:dyDescent="0.25">
      <c r="J456" s="51"/>
      <c r="M456" s="51"/>
      <c r="N456" s="51"/>
      <c r="O456" s="51"/>
      <c r="P456" s="51"/>
    </row>
    <row r="458" spans="10:16" x14ac:dyDescent="0.25">
      <c r="J458" s="51"/>
      <c r="M458" s="51"/>
      <c r="N458" s="51"/>
      <c r="O458" s="51"/>
      <c r="P458" s="51"/>
    </row>
    <row r="460" spans="10:16" x14ac:dyDescent="0.25">
      <c r="J460" s="51"/>
      <c r="M460" s="51"/>
      <c r="N460" s="51"/>
      <c r="O460" s="51"/>
      <c r="P460" s="51"/>
    </row>
    <row r="461" spans="10:16" x14ac:dyDescent="0.25">
      <c r="J461" s="51"/>
      <c r="N461" s="51"/>
      <c r="O461" s="51"/>
      <c r="P461" s="51"/>
    </row>
    <row r="462" spans="10:16" x14ac:dyDescent="0.25">
      <c r="J462" s="51"/>
      <c r="M462" s="51"/>
      <c r="N462" s="51"/>
      <c r="O462" s="51"/>
      <c r="P462" s="51"/>
    </row>
    <row r="463" spans="10:16" x14ac:dyDescent="0.25">
      <c r="J463" s="51"/>
      <c r="M463" s="51"/>
      <c r="N463" s="51"/>
      <c r="O463" s="51"/>
      <c r="P463" s="51"/>
    </row>
    <row r="464" spans="10:16" x14ac:dyDescent="0.25">
      <c r="J464" s="51"/>
      <c r="M464" s="51"/>
      <c r="N464" s="51"/>
      <c r="O464" s="51"/>
      <c r="P464" s="51"/>
    </row>
    <row r="465" spans="10:16" x14ac:dyDescent="0.25">
      <c r="J465" s="51"/>
      <c r="M465" s="51"/>
      <c r="N465" s="51"/>
      <c r="O465" s="51"/>
      <c r="P465" s="51"/>
    </row>
    <row r="468" spans="10:16" x14ac:dyDescent="0.25">
      <c r="J468" s="51"/>
      <c r="M468" s="51"/>
      <c r="O468" s="51"/>
      <c r="P468" s="51"/>
    </row>
    <row r="470" spans="10:16" x14ac:dyDescent="0.25">
      <c r="J470" s="51"/>
      <c r="M470" s="51"/>
      <c r="N470" s="51"/>
      <c r="O470" s="51"/>
      <c r="P470" s="51"/>
    </row>
    <row r="471" spans="10:16" x14ac:dyDescent="0.25">
      <c r="J471" s="51"/>
      <c r="M471" s="51"/>
      <c r="N471" s="51"/>
      <c r="O471" s="51"/>
      <c r="P471" s="51"/>
    </row>
    <row r="472" spans="10:16" x14ac:dyDescent="0.25">
      <c r="J472" s="51"/>
    </row>
    <row r="473" spans="10:16" x14ac:dyDescent="0.25">
      <c r="J473" s="51"/>
      <c r="M473" s="51"/>
      <c r="N473" s="51"/>
      <c r="O473" s="51"/>
      <c r="P473" s="51"/>
    </row>
    <row r="474" spans="10:16" x14ac:dyDescent="0.25">
      <c r="J474" s="51"/>
    </row>
    <row r="475" spans="10:16" x14ac:dyDescent="0.25">
      <c r="M475" s="51"/>
      <c r="N475" s="51"/>
      <c r="O475" s="51"/>
      <c r="P475" s="51"/>
    </row>
    <row r="476" spans="10:16" x14ac:dyDescent="0.25">
      <c r="M476" s="51"/>
      <c r="N476" s="51"/>
      <c r="O476" s="51"/>
      <c r="P476" s="51"/>
    </row>
    <row r="478" spans="10:16" x14ac:dyDescent="0.25">
      <c r="J478" s="51"/>
      <c r="M478" s="51"/>
      <c r="N478" s="51"/>
      <c r="O478" s="51"/>
      <c r="P478" s="51"/>
    </row>
    <row r="479" spans="10:16" x14ac:dyDescent="0.25">
      <c r="J479" s="51"/>
    </row>
    <row r="480" spans="10:16" x14ac:dyDescent="0.25">
      <c r="M480" s="51"/>
      <c r="N480" s="51"/>
      <c r="O480" s="51"/>
      <c r="P480" s="51"/>
    </row>
    <row r="481" spans="1:21" x14ac:dyDescent="0.25">
      <c r="M481" s="51"/>
      <c r="N481" s="51"/>
      <c r="O481" s="51"/>
      <c r="P481" s="51"/>
    </row>
    <row r="482" spans="1:21" x14ac:dyDescent="0.25">
      <c r="J482" s="51"/>
    </row>
    <row r="483" spans="1:21" x14ac:dyDescent="0.25">
      <c r="J483" s="51"/>
      <c r="N483" s="51"/>
      <c r="O483" s="51"/>
      <c r="P483" s="51"/>
    </row>
    <row r="484" spans="1:21" x14ac:dyDescent="0.25">
      <c r="J484" s="51"/>
    </row>
    <row r="486" spans="1:21" x14ac:dyDescent="0.25">
      <c r="J486" s="51"/>
      <c r="M486" s="51"/>
      <c r="N486" s="51"/>
      <c r="O486" s="51"/>
    </row>
    <row r="488" spans="1:21" x14ac:dyDescent="0.25">
      <c r="J488" s="51"/>
      <c r="M488" s="51"/>
      <c r="N488" s="51"/>
      <c r="O488" s="51"/>
    </row>
    <row r="489" spans="1:21" x14ac:dyDescent="0.25">
      <c r="J489" s="51"/>
    </row>
    <row r="490" spans="1:21" x14ac:dyDescent="0.25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</row>
    <row r="491" spans="1:21" x14ac:dyDescent="0.25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</row>
    <row r="492" spans="1:21" x14ac:dyDescent="0.25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</row>
    <row r="493" spans="1:21" x14ac:dyDescent="0.25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</row>
    <row r="494" spans="1:21" x14ac:dyDescent="0.25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</row>
    <row r="495" spans="1:21" x14ac:dyDescent="0.2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</row>
    <row r="496" spans="1:21" x14ac:dyDescent="0.25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</row>
    <row r="497" spans="1:21" x14ac:dyDescent="0.25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</row>
    <row r="498" spans="1:21" x14ac:dyDescent="0.25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</row>
    <row r="499" spans="1:21" x14ac:dyDescent="0.25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</row>
    <row r="500" spans="1:21" x14ac:dyDescent="0.25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</row>
    <row r="501" spans="1:21" x14ac:dyDescent="0.25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</row>
    <row r="502" spans="1:21" x14ac:dyDescent="0.25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</row>
    <row r="503" spans="1:21" x14ac:dyDescent="0.25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</row>
    <row r="504" spans="1:21" x14ac:dyDescent="0.25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</row>
    <row r="505" spans="1:21" x14ac:dyDescent="0.2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</row>
    <row r="506" spans="1:21" x14ac:dyDescent="0.25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</row>
    <row r="507" spans="1:21" x14ac:dyDescent="0.25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</row>
    <row r="508" spans="1:21" x14ac:dyDescent="0.25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</row>
    <row r="509" spans="1:21" x14ac:dyDescent="0.25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</row>
    <row r="510" spans="1:21" x14ac:dyDescent="0.25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</row>
    <row r="511" spans="1:21" x14ac:dyDescent="0.25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</row>
    <row r="512" spans="1:21" x14ac:dyDescent="0.25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</row>
    <row r="513" spans="1:21" x14ac:dyDescent="0.2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</row>
    <row r="514" spans="1:21" x14ac:dyDescent="0.25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</row>
    <row r="515" spans="1:21" x14ac:dyDescent="0.2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</row>
    <row r="516" spans="1:21" x14ac:dyDescent="0.25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</row>
    <row r="517" spans="1:21" x14ac:dyDescent="0.25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</row>
    <row r="518" spans="1:21" x14ac:dyDescent="0.25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</row>
    <row r="519" spans="1:21" x14ac:dyDescent="0.25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</row>
    <row r="520" spans="1:21" x14ac:dyDescent="0.25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</row>
    <row r="521" spans="1:21" x14ac:dyDescent="0.25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</row>
    <row r="522" spans="1:21" x14ac:dyDescent="0.25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</row>
    <row r="523" spans="1:21" x14ac:dyDescent="0.25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</row>
    <row r="524" spans="1:21" x14ac:dyDescent="0.25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</row>
    <row r="525" spans="1:21" x14ac:dyDescent="0.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</row>
    <row r="526" spans="1:21" x14ac:dyDescent="0.25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</row>
    <row r="527" spans="1:21" x14ac:dyDescent="0.25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</row>
    <row r="528" spans="1:21" x14ac:dyDescent="0.25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</row>
    <row r="529" spans="1:21" x14ac:dyDescent="0.25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</row>
    <row r="530" spans="1:21" x14ac:dyDescent="0.25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</row>
    <row r="531" spans="1:21" x14ac:dyDescent="0.25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</row>
    <row r="532" spans="1:21" x14ac:dyDescent="0.25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</row>
    <row r="533" spans="1:21" x14ac:dyDescent="0.25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</row>
    <row r="534" spans="1:21" x14ac:dyDescent="0.25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</row>
    <row r="535" spans="1:21" x14ac:dyDescent="0.2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</row>
    <row r="536" spans="1:21" x14ac:dyDescent="0.25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</row>
    <row r="537" spans="1:21" x14ac:dyDescent="0.25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</row>
    <row r="538" spans="1:21" x14ac:dyDescent="0.25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</row>
    <row r="539" spans="1:21" x14ac:dyDescent="0.25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</row>
    <row r="540" spans="1:21" x14ac:dyDescent="0.25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</row>
    <row r="541" spans="1:21" x14ac:dyDescent="0.25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</row>
    <row r="542" spans="1:21" x14ac:dyDescent="0.25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</row>
    <row r="543" spans="1:21" x14ac:dyDescent="0.25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</row>
    <row r="544" spans="1:21" x14ac:dyDescent="0.25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</row>
    <row r="545" spans="1:21" x14ac:dyDescent="0.2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</row>
  </sheetData>
  <mergeCells count="1">
    <mergeCell ref="B1:B8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BC51C-09A0-4DDD-97C2-655010ACBC63}">
  <dimension ref="A1:J97"/>
  <sheetViews>
    <sheetView zoomScale="81" workbookViewId="0">
      <selection activeCell="Q29" sqref="Q29"/>
    </sheetView>
  </sheetViews>
  <sheetFormatPr defaultRowHeight="15" x14ac:dyDescent="0.25"/>
  <cols>
    <col min="1" max="1" width="13.7109375" style="53" customWidth="1"/>
    <col min="2" max="2" width="36" style="53" customWidth="1"/>
    <col min="3" max="3" width="26.7109375" style="53" customWidth="1"/>
    <col min="4" max="7" width="20.5703125" style="53" customWidth="1"/>
    <col min="9" max="10" width="19.42578125" style="53" customWidth="1"/>
  </cols>
  <sheetData>
    <row r="1" spans="1:10" x14ac:dyDescent="0.25">
      <c r="A1" s="69" t="s">
        <v>16</v>
      </c>
      <c r="B1" s="69" t="s">
        <v>18</v>
      </c>
      <c r="C1" s="69" t="s">
        <v>10</v>
      </c>
      <c r="D1" s="69" t="s">
        <v>12</v>
      </c>
      <c r="E1" s="69" t="s">
        <v>14</v>
      </c>
      <c r="F1" s="69" t="s">
        <v>11</v>
      </c>
      <c r="G1" s="69" t="s">
        <v>13</v>
      </c>
      <c r="H1" s="38"/>
      <c r="I1" s="62" t="s">
        <v>91</v>
      </c>
      <c r="J1" s="62" t="s">
        <v>92</v>
      </c>
    </row>
    <row r="2" spans="1:10" x14ac:dyDescent="0.25">
      <c r="A2" s="59" t="str">
        <f>'Data Input'!B14</f>
        <v>A1</v>
      </c>
      <c r="B2" s="59" t="str">
        <f>'Data Input'!D14</f>
        <v>OM3-001_0 min</v>
      </c>
      <c r="C2" s="65" t="str" cm="1">
        <f t="array" ref="C2">_xlfn.XLOOKUP(1,(Tbl_Input[Well Position]='Cq and Delta Cq'!$A$2)*(Tbl_Input[Reporter]='Cq and Delta Cq'!$C$1),Tbl_Input[Cq])</f>
        <v>Undetermined</v>
      </c>
      <c r="D2" s="65" t="str" cm="1">
        <f t="array" ref="D2">_xlfn.XLOOKUP(1,(Tbl_Input[Well Position]='Cq and Delta Cq'!$A$2)*(Tbl_Input[Reporter]='Cq and Delta Cq'!$D$1),Tbl_Input[Cq])</f>
        <v>Undetermined</v>
      </c>
      <c r="E2" s="65" cm="1">
        <f t="array" ref="E2">_xlfn.XLOOKUP(1,(Tbl_Input[Well Position]='Cq and Delta Cq'!$A$2)*(Tbl_Input[Reporter]='Cq and Delta Cq'!$E$1),Tbl_Input[Cq])</f>
        <v>25.555587796287064</v>
      </c>
      <c r="F2" s="65" cm="1">
        <f t="array" ref="F2">_xlfn.XLOOKUP(1,(Tbl_Input[Well Position]='Cq and Delta Cq'!$A$2)*(Tbl_Input[Reporter]='Cq and Delta Cq'!$F$1),Tbl_Input[Cq])</f>
        <v>29.146242074141419</v>
      </c>
      <c r="G2" s="65" cm="1">
        <f t="array" ref="G2">_xlfn.XLOOKUP(1,(Tbl_Input[Well Position]='Cq and Delta Cq'!$A$2)*(Tbl_Input[Reporter]='Cq and Delta Cq'!$G$1),Tbl_Input[Cq])</f>
        <v>32.168682949648222</v>
      </c>
      <c r="I2" s="65" t="e">
        <f>D2-C2</f>
        <v>#VALUE!</v>
      </c>
      <c r="J2" s="65">
        <f t="shared" ref="J2:J33" si="0">G2-F2</f>
        <v>3.0224408755068026</v>
      </c>
    </row>
    <row r="3" spans="1:10" x14ac:dyDescent="0.25">
      <c r="A3" s="60" t="str">
        <f>'Data Input'!B19</f>
        <v>A2</v>
      </c>
      <c r="B3" s="60" t="str">
        <f>'Data Input'!D19</f>
        <v>OM3-001_5 min</v>
      </c>
      <c r="C3" s="66" t="str" cm="1">
        <f t="array" ref="C3">_xlfn.XLOOKUP(1,(Tbl_Input[Well Position]='Cq and Delta Cq'!A3)*(Tbl_Input[Reporter]='Cq and Delta Cq'!$C$1),Tbl_Input[Cq])</f>
        <v>Undetermined</v>
      </c>
      <c r="D3" s="66" t="str" cm="1">
        <f t="array" ref="D3">_xlfn.XLOOKUP(1,(Tbl_Input[Well Position]='Cq and Delta Cq'!A3)*(Tbl_Input[Reporter]='Cq and Delta Cq'!$D$1),Tbl_Input[Cq])</f>
        <v>Undetermined</v>
      </c>
      <c r="E3" s="66" cm="1">
        <f t="array" ref="E3">_xlfn.XLOOKUP(1,(Tbl_Input[Well Position]='Cq and Delta Cq'!A3)*(Tbl_Input[Reporter]='Cq and Delta Cq'!$E$1),Tbl_Input[Cq])</f>
        <v>26.303906660252636</v>
      </c>
      <c r="F3" s="66" cm="1">
        <f t="array" ref="F3">_xlfn.XLOOKUP(1,(Tbl_Input[Well Position]='Cq and Delta Cq'!A3)*(Tbl_Input[Reporter]='Cq and Delta Cq'!$F$1),Tbl_Input[Cq])</f>
        <v>29.199534968588281</v>
      </c>
      <c r="G3" s="66" cm="1">
        <f t="array" ref="G3">_xlfn.XLOOKUP(1,(Tbl_Input[Well Position]='Cq and Delta Cq'!A3)*(Tbl_Input[Reporter]='Cq and Delta Cq'!$G$1),Tbl_Input[Cq])</f>
        <v>32.394622732862572</v>
      </c>
      <c r="I3" s="66" t="e">
        <f t="shared" ref="I3:I33" si="1">D3-C3</f>
        <v>#VALUE!</v>
      </c>
      <c r="J3" s="66">
        <f t="shared" si="0"/>
        <v>3.195087764274291</v>
      </c>
    </row>
    <row r="4" spans="1:10" x14ac:dyDescent="0.25">
      <c r="A4" s="60" t="str">
        <f>'Data Input'!B24</f>
        <v>A3</v>
      </c>
      <c r="B4" s="60" t="str">
        <f>'Data Input'!D24</f>
        <v>OM3-001_30 min</v>
      </c>
      <c r="C4" s="66" t="str" cm="1">
        <f t="array" ref="C4">_xlfn.XLOOKUP(1,(Tbl_Input[Well Position]='Cq and Delta Cq'!A4)*(Tbl_Input[Reporter]='Cq and Delta Cq'!$C$1),Tbl_Input[Cq])</f>
        <v>Undetermined</v>
      </c>
      <c r="D4" s="66" t="str" cm="1">
        <f t="array" ref="D4">_xlfn.XLOOKUP(1,(Tbl_Input[Well Position]='Cq and Delta Cq'!A4)*(Tbl_Input[Reporter]='Cq and Delta Cq'!$D$1),Tbl_Input[Cq])</f>
        <v>Undetermined</v>
      </c>
      <c r="E4" s="66" cm="1">
        <f t="array" ref="E4">_xlfn.XLOOKUP(1,(Tbl_Input[Well Position]='Cq and Delta Cq'!A4)*(Tbl_Input[Reporter]='Cq and Delta Cq'!$E$1),Tbl_Input[Cq])</f>
        <v>28.071379304079308</v>
      </c>
      <c r="F4" s="66" cm="1">
        <f t="array" ref="F4">_xlfn.XLOOKUP(1,(Tbl_Input[Well Position]='Cq and Delta Cq'!A4)*(Tbl_Input[Reporter]='Cq and Delta Cq'!$F$1),Tbl_Input[Cq])</f>
        <v>30.55869180275991</v>
      </c>
      <c r="G4" s="66" cm="1">
        <f t="array" ref="G4">_xlfn.XLOOKUP(1,(Tbl_Input[Well Position]='Cq and Delta Cq'!A4)*(Tbl_Input[Reporter]='Cq and Delta Cq'!$G$1),Tbl_Input[Cq])</f>
        <v>33.338086406395163</v>
      </c>
      <c r="I4" s="66" t="e">
        <f t="shared" si="1"/>
        <v>#VALUE!</v>
      </c>
      <c r="J4" s="66">
        <f t="shared" si="0"/>
        <v>2.7793946036352537</v>
      </c>
    </row>
    <row r="5" spans="1:10" x14ac:dyDescent="0.25">
      <c r="A5" s="60" t="str">
        <f>'Data Input'!B29</f>
        <v>A4</v>
      </c>
      <c r="B5" s="60" t="str">
        <f>'Data Input'!D29</f>
        <v>OM3-001_60 min</v>
      </c>
      <c r="C5" s="66" t="str" cm="1">
        <f t="array" ref="C5">_xlfn.XLOOKUP(1,(Tbl_Input[Well Position]='Cq and Delta Cq'!A5)*(Tbl_Input[Reporter]='Cq and Delta Cq'!$C$1),Tbl_Input[Cq])</f>
        <v>Undetermined</v>
      </c>
      <c r="D5" s="66" t="str" cm="1">
        <f t="array" ref="D5">_xlfn.XLOOKUP(1,(Tbl_Input[Well Position]='Cq and Delta Cq'!A5)*(Tbl_Input[Reporter]='Cq and Delta Cq'!$D$1),Tbl_Input[Cq])</f>
        <v>Undetermined</v>
      </c>
      <c r="E5" s="66" cm="1">
        <f t="array" ref="E5">_xlfn.XLOOKUP(1,(Tbl_Input[Well Position]='Cq and Delta Cq'!A5)*(Tbl_Input[Reporter]='Cq and Delta Cq'!$E$1),Tbl_Input[Cq])</f>
        <v>26.329328500181404</v>
      </c>
      <c r="F5" s="66" cm="1">
        <f t="array" ref="F5">_xlfn.XLOOKUP(1,(Tbl_Input[Well Position]='Cq and Delta Cq'!A5)*(Tbl_Input[Reporter]='Cq and Delta Cq'!$F$1),Tbl_Input[Cq])</f>
        <v>31.510964868126287</v>
      </c>
      <c r="G5" s="66" cm="1">
        <f t="array" ref="G5">_xlfn.XLOOKUP(1,(Tbl_Input[Well Position]='Cq and Delta Cq'!A5)*(Tbl_Input[Reporter]='Cq and Delta Cq'!$G$1),Tbl_Input[Cq])</f>
        <v>34.716423910249013</v>
      </c>
      <c r="I5" s="66" t="e">
        <f t="shared" si="1"/>
        <v>#VALUE!</v>
      </c>
      <c r="J5" s="66">
        <f t="shared" si="0"/>
        <v>3.205459042122726</v>
      </c>
    </row>
    <row r="6" spans="1:10" x14ac:dyDescent="0.25">
      <c r="A6" s="60" t="str">
        <f>'Data Input'!B34</f>
        <v>A5</v>
      </c>
      <c r="B6" s="60" t="str">
        <f>'Data Input'!D34</f>
        <v>OM3-001_120 min</v>
      </c>
      <c r="C6" s="66" t="str" cm="1">
        <f t="array" ref="C6">_xlfn.XLOOKUP(1,(Tbl_Input[Well Position]='Cq and Delta Cq'!A6)*(Tbl_Input[Reporter]='Cq and Delta Cq'!$C$1),Tbl_Input[Cq])</f>
        <v>Undetermined</v>
      </c>
      <c r="D6" s="66" t="str" cm="1">
        <f t="array" ref="D6">_xlfn.XLOOKUP(1,(Tbl_Input[Well Position]='Cq and Delta Cq'!A6)*(Tbl_Input[Reporter]='Cq and Delta Cq'!$D$1),Tbl_Input[Cq])</f>
        <v>Undetermined</v>
      </c>
      <c r="E6" s="66" cm="1">
        <f t="array" ref="E6">_xlfn.XLOOKUP(1,(Tbl_Input[Well Position]='Cq and Delta Cq'!A6)*(Tbl_Input[Reporter]='Cq and Delta Cq'!$E$1),Tbl_Input[Cq])</f>
        <v>27.051461964819342</v>
      </c>
      <c r="F6" s="66" cm="1">
        <f t="array" ref="F6">_xlfn.XLOOKUP(1,(Tbl_Input[Well Position]='Cq and Delta Cq'!A6)*(Tbl_Input[Reporter]='Cq and Delta Cq'!$F$1),Tbl_Input[Cq])</f>
        <v>28.133256908155438</v>
      </c>
      <c r="G6" s="66" cm="1">
        <f t="array" ref="G6">_xlfn.XLOOKUP(1,(Tbl_Input[Well Position]='Cq and Delta Cq'!A6)*(Tbl_Input[Reporter]='Cq and Delta Cq'!$G$1),Tbl_Input[Cq])</f>
        <v>31.208038309003868</v>
      </c>
      <c r="I6" s="66" t="e">
        <f t="shared" si="1"/>
        <v>#VALUE!</v>
      </c>
      <c r="J6" s="66">
        <f t="shared" si="0"/>
        <v>3.0747814008484298</v>
      </c>
    </row>
    <row r="7" spans="1:10" x14ac:dyDescent="0.25">
      <c r="A7" s="60" t="str">
        <f>'Data Input'!B39</f>
        <v>A6</v>
      </c>
      <c r="B7" s="60" t="str">
        <f>'Data Input'!D39</f>
        <v>OM3-009_0 min</v>
      </c>
      <c r="C7" s="66" t="str" cm="1">
        <f t="array" ref="C7">_xlfn.XLOOKUP(1,(Tbl_Input[Well Position]='Cq and Delta Cq'!A7)*(Tbl_Input[Reporter]='Cq and Delta Cq'!$C$1),Tbl_Input[Cq])</f>
        <v>Undetermined</v>
      </c>
      <c r="D7" s="66" t="str" cm="1">
        <f t="array" ref="D7">_xlfn.XLOOKUP(1,(Tbl_Input[Well Position]='Cq and Delta Cq'!A7)*(Tbl_Input[Reporter]='Cq and Delta Cq'!$D$1),Tbl_Input[Cq])</f>
        <v>Undetermined</v>
      </c>
      <c r="E7" s="66" cm="1">
        <f t="array" ref="E7">_xlfn.XLOOKUP(1,(Tbl_Input[Well Position]='Cq and Delta Cq'!A7)*(Tbl_Input[Reporter]='Cq and Delta Cq'!$E$1),Tbl_Input[Cq])</f>
        <v>23.089840082098874</v>
      </c>
      <c r="F7" s="66" cm="1">
        <f t="array" ref="F7">_xlfn.XLOOKUP(1,(Tbl_Input[Well Position]='Cq and Delta Cq'!A7)*(Tbl_Input[Reporter]='Cq and Delta Cq'!$F$1),Tbl_Input[Cq])</f>
        <v>38.616128472836067</v>
      </c>
      <c r="G7" s="66" cm="1">
        <f t="array" ref="G7">_xlfn.XLOOKUP(1,(Tbl_Input[Well Position]='Cq and Delta Cq'!A7)*(Tbl_Input[Reporter]='Cq and Delta Cq'!$G$1),Tbl_Input[Cq])</f>
        <v>36.90833559216204</v>
      </c>
      <c r="I7" s="66" t="e">
        <f t="shared" si="1"/>
        <v>#VALUE!</v>
      </c>
      <c r="J7" s="66">
        <f t="shared" si="0"/>
        <v>-1.7077928806740275</v>
      </c>
    </row>
    <row r="8" spans="1:10" x14ac:dyDescent="0.25">
      <c r="A8" s="60" t="str">
        <f>'Data Input'!B44</f>
        <v>A7</v>
      </c>
      <c r="B8" s="60" t="str">
        <f>'Data Input'!D44</f>
        <v>OM3-009_5 min</v>
      </c>
      <c r="C8" s="66" t="str" cm="1">
        <f t="array" ref="C8">_xlfn.XLOOKUP(1,(Tbl_Input[Well Position]='Cq and Delta Cq'!A8)*(Tbl_Input[Reporter]='Cq and Delta Cq'!$C$1),Tbl_Input[Cq])</f>
        <v>Undetermined</v>
      </c>
      <c r="D8" s="66" t="str" cm="1">
        <f t="array" ref="D8">_xlfn.XLOOKUP(1,(Tbl_Input[Well Position]='Cq and Delta Cq'!A8)*(Tbl_Input[Reporter]='Cq and Delta Cq'!$D$1),Tbl_Input[Cq])</f>
        <v>Undetermined</v>
      </c>
      <c r="E8" s="66" cm="1">
        <f t="array" ref="E8">_xlfn.XLOOKUP(1,(Tbl_Input[Well Position]='Cq and Delta Cq'!A8)*(Tbl_Input[Reporter]='Cq and Delta Cq'!$E$1),Tbl_Input[Cq])</f>
        <v>25.27591664170793</v>
      </c>
      <c r="F8" s="66" cm="1">
        <f t="array" ref="F8">_xlfn.XLOOKUP(1,(Tbl_Input[Well Position]='Cq and Delta Cq'!A8)*(Tbl_Input[Reporter]='Cq and Delta Cq'!$F$1),Tbl_Input[Cq])</f>
        <v>38.389232975705241</v>
      </c>
      <c r="G8" s="66" cm="1">
        <f t="array" ref="G8">_xlfn.XLOOKUP(1,(Tbl_Input[Well Position]='Cq and Delta Cq'!A8)*(Tbl_Input[Reporter]='Cq and Delta Cq'!$G$1),Tbl_Input[Cq])</f>
        <v>40.160181418113879</v>
      </c>
      <c r="I8" s="66" t="e">
        <f t="shared" si="1"/>
        <v>#VALUE!</v>
      </c>
      <c r="J8" s="66">
        <f t="shared" si="0"/>
        <v>1.7709484424086384</v>
      </c>
    </row>
    <row r="9" spans="1:10" x14ac:dyDescent="0.25">
      <c r="A9" s="60" t="str">
        <f>'Data Input'!B49</f>
        <v>A8</v>
      </c>
      <c r="B9" s="60" t="str">
        <f>'Data Input'!D49</f>
        <v>OM3-009_30 min</v>
      </c>
      <c r="C9" s="66" t="str" cm="1">
        <f t="array" ref="C9">_xlfn.XLOOKUP(1,(Tbl_Input[Well Position]='Cq and Delta Cq'!A9)*(Tbl_Input[Reporter]='Cq and Delta Cq'!$C$1),Tbl_Input[Cq])</f>
        <v>Undetermined</v>
      </c>
      <c r="D9" s="66" t="str" cm="1">
        <f t="array" ref="D9">_xlfn.XLOOKUP(1,(Tbl_Input[Well Position]='Cq and Delta Cq'!A9)*(Tbl_Input[Reporter]='Cq and Delta Cq'!$D$1),Tbl_Input[Cq])</f>
        <v>Undetermined</v>
      </c>
      <c r="E9" s="66" cm="1">
        <f t="array" ref="E9">_xlfn.XLOOKUP(1,(Tbl_Input[Well Position]='Cq and Delta Cq'!A9)*(Tbl_Input[Reporter]='Cq and Delta Cq'!$E$1),Tbl_Input[Cq])</f>
        <v>25.029158026336127</v>
      </c>
      <c r="F9" s="66" cm="1">
        <f t="array" ref="F9">_xlfn.XLOOKUP(1,(Tbl_Input[Well Position]='Cq and Delta Cq'!A9)*(Tbl_Input[Reporter]='Cq and Delta Cq'!$F$1),Tbl_Input[Cq])</f>
        <v>32.119946833861093</v>
      </c>
      <c r="G9" s="66" cm="1">
        <f t="array" ref="G9">_xlfn.XLOOKUP(1,(Tbl_Input[Well Position]='Cq and Delta Cq'!A9)*(Tbl_Input[Reporter]='Cq and Delta Cq'!$G$1),Tbl_Input[Cq])</f>
        <v>33.282399336496795</v>
      </c>
      <c r="I9" s="66" t="e">
        <f t="shared" si="1"/>
        <v>#VALUE!</v>
      </c>
      <c r="J9" s="66">
        <f t="shared" si="0"/>
        <v>1.162452502635702</v>
      </c>
    </row>
    <row r="10" spans="1:10" x14ac:dyDescent="0.25">
      <c r="A10" s="60" t="str">
        <f>'Data Input'!B54</f>
        <v>A9</v>
      </c>
      <c r="B10" s="60" t="str">
        <f>'Data Input'!D54</f>
        <v>OM3-009_60 min</v>
      </c>
      <c r="C10" s="66" t="str" cm="1">
        <f t="array" ref="C10">_xlfn.XLOOKUP(1,(Tbl_Input[Well Position]='Cq and Delta Cq'!A10)*(Tbl_Input[Reporter]='Cq and Delta Cq'!$C$1),Tbl_Input[Cq])</f>
        <v>Undetermined</v>
      </c>
      <c r="D10" s="66" t="str" cm="1">
        <f t="array" ref="D10">_xlfn.XLOOKUP(1,(Tbl_Input[Well Position]='Cq and Delta Cq'!A10)*(Tbl_Input[Reporter]='Cq and Delta Cq'!$D$1),Tbl_Input[Cq])</f>
        <v>Undetermined</v>
      </c>
      <c r="E10" s="66" cm="1">
        <f t="array" ref="E10">_xlfn.XLOOKUP(1,(Tbl_Input[Well Position]='Cq and Delta Cq'!A10)*(Tbl_Input[Reporter]='Cq and Delta Cq'!$E$1),Tbl_Input[Cq])</f>
        <v>24.559491273960894</v>
      </c>
      <c r="F10" s="66" cm="1">
        <f t="array" ref="F10">_xlfn.XLOOKUP(1,(Tbl_Input[Well Position]='Cq and Delta Cq'!A10)*(Tbl_Input[Reporter]='Cq and Delta Cq'!$F$1),Tbl_Input[Cq])</f>
        <v>37.311378038886815</v>
      </c>
      <c r="G10" s="66" cm="1">
        <f t="array" ref="G10">_xlfn.XLOOKUP(1,(Tbl_Input[Well Position]='Cq and Delta Cq'!A10)*(Tbl_Input[Reporter]='Cq and Delta Cq'!$G$1),Tbl_Input[Cq])</f>
        <v>35.82776607404228</v>
      </c>
      <c r="I10" s="66" t="e">
        <f t="shared" si="1"/>
        <v>#VALUE!</v>
      </c>
      <c r="J10" s="66">
        <f t="shared" si="0"/>
        <v>-1.4836119648445347</v>
      </c>
    </row>
    <row r="11" spans="1:10" x14ac:dyDescent="0.25">
      <c r="A11" s="60" t="str">
        <f>'Data Input'!B59</f>
        <v>A10</v>
      </c>
      <c r="B11" s="60" t="str">
        <f>'Data Input'!D59</f>
        <v>OM3-009_120 min</v>
      </c>
      <c r="C11" s="66" t="str" cm="1">
        <f t="array" ref="C11">_xlfn.XLOOKUP(1,(Tbl_Input[Well Position]='Cq and Delta Cq'!A11)*(Tbl_Input[Reporter]='Cq and Delta Cq'!$C$1),Tbl_Input[Cq])</f>
        <v>Undetermined</v>
      </c>
      <c r="D11" s="66" t="str" cm="1">
        <f t="array" ref="D11">_xlfn.XLOOKUP(1,(Tbl_Input[Well Position]='Cq and Delta Cq'!A11)*(Tbl_Input[Reporter]='Cq and Delta Cq'!$D$1),Tbl_Input[Cq])</f>
        <v>Undetermined</v>
      </c>
      <c r="E11" s="66" cm="1">
        <f t="array" ref="E11">_xlfn.XLOOKUP(1,(Tbl_Input[Well Position]='Cq and Delta Cq'!A11)*(Tbl_Input[Reporter]='Cq and Delta Cq'!$E$1),Tbl_Input[Cq])</f>
        <v>24.508035152002279</v>
      </c>
      <c r="F11" s="66" cm="1">
        <f t="array" ref="F11">_xlfn.XLOOKUP(1,(Tbl_Input[Well Position]='Cq and Delta Cq'!A11)*(Tbl_Input[Reporter]='Cq and Delta Cq'!$F$1),Tbl_Input[Cq])</f>
        <v>29.241215725502357</v>
      </c>
      <c r="G11" s="66" cm="1">
        <f t="array" ref="G11">_xlfn.XLOOKUP(1,(Tbl_Input[Well Position]='Cq and Delta Cq'!A11)*(Tbl_Input[Reporter]='Cq and Delta Cq'!$G$1),Tbl_Input[Cq])</f>
        <v>30.974218405618771</v>
      </c>
      <c r="I11" s="66" t="e">
        <f t="shared" si="1"/>
        <v>#VALUE!</v>
      </c>
      <c r="J11" s="66">
        <f t="shared" si="0"/>
        <v>1.7330026801164138</v>
      </c>
    </row>
    <row r="12" spans="1:10" x14ac:dyDescent="0.25">
      <c r="A12" s="60" t="str">
        <f>'Data Input'!B64</f>
        <v>A12</v>
      </c>
      <c r="B12" s="60" t="str">
        <f>'Data Input'!D64</f>
        <v>NEG</v>
      </c>
      <c r="C12" s="66" t="str" cm="1">
        <f t="array" ref="C12">_xlfn.XLOOKUP(1,(Tbl_Input[Well Position]='Cq and Delta Cq'!A12)*(Tbl_Input[Reporter]='Cq and Delta Cq'!$C$1),Tbl_Input[Cq])</f>
        <v>Undetermined</v>
      </c>
      <c r="D12" s="66" t="str" cm="1">
        <f t="array" ref="D12">_xlfn.XLOOKUP(1,(Tbl_Input[Well Position]='Cq and Delta Cq'!A12)*(Tbl_Input[Reporter]='Cq and Delta Cq'!$D$1),Tbl_Input[Cq])</f>
        <v>Undetermined</v>
      </c>
      <c r="E12" s="66" t="str" cm="1">
        <f t="array" ref="E12">_xlfn.XLOOKUP(1,(Tbl_Input[Well Position]='Cq and Delta Cq'!A12)*(Tbl_Input[Reporter]='Cq and Delta Cq'!$E$1),Tbl_Input[Cq])</f>
        <v>Undetermined</v>
      </c>
      <c r="F12" s="66" t="str" cm="1">
        <f t="array" ref="F12">_xlfn.XLOOKUP(1,(Tbl_Input[Well Position]='Cq and Delta Cq'!A12)*(Tbl_Input[Reporter]='Cq and Delta Cq'!$F$1),Tbl_Input[Cq])</f>
        <v>Undetermined</v>
      </c>
      <c r="G12" s="66" t="str" cm="1">
        <f t="array" ref="G12">_xlfn.XLOOKUP(1,(Tbl_Input[Well Position]='Cq and Delta Cq'!A12)*(Tbl_Input[Reporter]='Cq and Delta Cq'!$G$1),Tbl_Input[Cq])</f>
        <v>Undetermined</v>
      </c>
      <c r="I12" s="66" t="e">
        <f t="shared" si="1"/>
        <v>#VALUE!</v>
      </c>
      <c r="J12" s="66" t="e">
        <f t="shared" si="0"/>
        <v>#VALUE!</v>
      </c>
    </row>
    <row r="13" spans="1:10" x14ac:dyDescent="0.25">
      <c r="A13" s="60" t="str">
        <f>'Data Input'!B69</f>
        <v>B1</v>
      </c>
      <c r="B13" s="60" t="str">
        <f>'Data Input'!D69</f>
        <v>OM3-002_0 min</v>
      </c>
      <c r="C13" s="66" t="str" cm="1">
        <f t="array" ref="C13">_xlfn.XLOOKUP(1,(Tbl_Input[Well Position]='Cq and Delta Cq'!A13)*(Tbl_Input[Reporter]='Cq and Delta Cq'!$C$1),Tbl_Input[Cq])</f>
        <v>Undetermined</v>
      </c>
      <c r="D13" s="66" t="str" cm="1">
        <f t="array" ref="D13">_xlfn.XLOOKUP(1,(Tbl_Input[Well Position]='Cq and Delta Cq'!A13)*(Tbl_Input[Reporter]='Cq and Delta Cq'!$D$1),Tbl_Input[Cq])</f>
        <v>Undetermined</v>
      </c>
      <c r="E13" s="66" cm="1">
        <f t="array" ref="E13">_xlfn.XLOOKUP(1,(Tbl_Input[Well Position]='Cq and Delta Cq'!A13)*(Tbl_Input[Reporter]='Cq and Delta Cq'!$E$1),Tbl_Input[Cq])</f>
        <v>23.940913802661036</v>
      </c>
      <c r="F13" s="66" cm="1">
        <f t="array" ref="F13">_xlfn.XLOOKUP(1,(Tbl_Input[Well Position]='Cq and Delta Cq'!A13)*(Tbl_Input[Reporter]='Cq and Delta Cq'!$F$1),Tbl_Input[Cq])</f>
        <v>28.732130079335718</v>
      </c>
      <c r="G13" s="66" cm="1">
        <f t="array" ref="G13">_xlfn.XLOOKUP(1,(Tbl_Input[Well Position]='Cq and Delta Cq'!A13)*(Tbl_Input[Reporter]='Cq and Delta Cq'!$G$1),Tbl_Input[Cq])</f>
        <v>29.941560064547758</v>
      </c>
      <c r="I13" s="66" t="e">
        <f t="shared" si="1"/>
        <v>#VALUE!</v>
      </c>
      <c r="J13" s="66">
        <f t="shared" si="0"/>
        <v>1.20942998521204</v>
      </c>
    </row>
    <row r="14" spans="1:10" x14ac:dyDescent="0.25">
      <c r="A14" s="60" t="str">
        <f>'Data Input'!B74</f>
        <v>B2</v>
      </c>
      <c r="B14" s="60" t="str">
        <f>'Data Input'!D74</f>
        <v>OM3-002_5 min</v>
      </c>
      <c r="C14" s="66" t="str" cm="1">
        <f t="array" ref="C14">_xlfn.XLOOKUP(1,(Tbl_Input[Well Position]='Cq and Delta Cq'!A14)*(Tbl_Input[Reporter]='Cq and Delta Cq'!$C$1),Tbl_Input[Cq])</f>
        <v>Undetermined</v>
      </c>
      <c r="D14" s="66" t="str" cm="1">
        <f t="array" ref="D14">_xlfn.XLOOKUP(1,(Tbl_Input[Well Position]='Cq and Delta Cq'!A14)*(Tbl_Input[Reporter]='Cq and Delta Cq'!$D$1),Tbl_Input[Cq])</f>
        <v>Undetermined</v>
      </c>
      <c r="E14" s="66" cm="1">
        <f t="array" ref="E14">_xlfn.XLOOKUP(1,(Tbl_Input[Well Position]='Cq and Delta Cq'!A14)*(Tbl_Input[Reporter]='Cq and Delta Cq'!$E$1),Tbl_Input[Cq])</f>
        <v>25.702257538938056</v>
      </c>
      <c r="F14" s="66" cm="1">
        <f t="array" ref="F14">_xlfn.XLOOKUP(1,(Tbl_Input[Well Position]='Cq and Delta Cq'!A14)*(Tbl_Input[Reporter]='Cq and Delta Cq'!$F$1),Tbl_Input[Cq])</f>
        <v>28.241611534618915</v>
      </c>
      <c r="G14" s="66" cm="1">
        <f t="array" ref="G14">_xlfn.XLOOKUP(1,(Tbl_Input[Well Position]='Cq and Delta Cq'!A14)*(Tbl_Input[Reporter]='Cq and Delta Cq'!$G$1),Tbl_Input[Cq])</f>
        <v>30.298671890605334</v>
      </c>
      <c r="I14" s="66" t="e">
        <f t="shared" si="1"/>
        <v>#VALUE!</v>
      </c>
      <c r="J14" s="66">
        <f t="shared" si="0"/>
        <v>2.0570603559864189</v>
      </c>
    </row>
    <row r="15" spans="1:10" x14ac:dyDescent="0.25">
      <c r="A15" s="60" t="str">
        <f>'Data Input'!B79</f>
        <v>B3</v>
      </c>
      <c r="B15" s="60" t="str">
        <f>'Data Input'!D79</f>
        <v>OM3-002_30 min</v>
      </c>
      <c r="C15" s="66" t="str" cm="1">
        <f t="array" ref="C15">_xlfn.XLOOKUP(1,(Tbl_Input[Well Position]='Cq and Delta Cq'!A15)*(Tbl_Input[Reporter]='Cq and Delta Cq'!$C$1),Tbl_Input[Cq])</f>
        <v>Undetermined</v>
      </c>
      <c r="D15" s="66" t="str" cm="1">
        <f t="array" ref="D15">_xlfn.XLOOKUP(1,(Tbl_Input[Well Position]='Cq and Delta Cq'!A15)*(Tbl_Input[Reporter]='Cq and Delta Cq'!$D$1),Tbl_Input[Cq])</f>
        <v>Undetermined</v>
      </c>
      <c r="E15" s="66" cm="1">
        <f t="array" ref="E15">_xlfn.XLOOKUP(1,(Tbl_Input[Well Position]='Cq and Delta Cq'!A15)*(Tbl_Input[Reporter]='Cq and Delta Cq'!$E$1),Tbl_Input[Cq])</f>
        <v>24.459486358995967</v>
      </c>
      <c r="F15" s="66" cm="1">
        <f t="array" ref="F15">_xlfn.XLOOKUP(1,(Tbl_Input[Well Position]='Cq and Delta Cq'!A15)*(Tbl_Input[Reporter]='Cq and Delta Cq'!$F$1),Tbl_Input[Cq])</f>
        <v>28.000808706514448</v>
      </c>
      <c r="G15" s="66" cm="1">
        <f t="array" ref="G15">_xlfn.XLOOKUP(1,(Tbl_Input[Well Position]='Cq and Delta Cq'!A15)*(Tbl_Input[Reporter]='Cq and Delta Cq'!$G$1),Tbl_Input[Cq])</f>
        <v>30.57744388243588</v>
      </c>
      <c r="I15" s="66" t="e">
        <f t="shared" si="1"/>
        <v>#VALUE!</v>
      </c>
      <c r="J15" s="66">
        <f t="shared" si="0"/>
        <v>2.5766351759214317</v>
      </c>
    </row>
    <row r="16" spans="1:10" x14ac:dyDescent="0.25">
      <c r="A16" s="60" t="str">
        <f>'Data Input'!B84</f>
        <v>B4</v>
      </c>
      <c r="B16" s="60" t="str">
        <f>'Data Input'!D84</f>
        <v>OM3-002_60 min</v>
      </c>
      <c r="C16" s="66" t="str" cm="1">
        <f t="array" ref="C16">_xlfn.XLOOKUP(1,(Tbl_Input[Well Position]='Cq and Delta Cq'!A16)*(Tbl_Input[Reporter]='Cq and Delta Cq'!$C$1),Tbl_Input[Cq])</f>
        <v>Undetermined</v>
      </c>
      <c r="D16" s="66" t="str" cm="1">
        <f t="array" ref="D16">_xlfn.XLOOKUP(1,(Tbl_Input[Well Position]='Cq and Delta Cq'!A16)*(Tbl_Input[Reporter]='Cq and Delta Cq'!$D$1),Tbl_Input[Cq])</f>
        <v>Undetermined</v>
      </c>
      <c r="E16" s="66" cm="1">
        <f t="array" ref="E16">_xlfn.XLOOKUP(1,(Tbl_Input[Well Position]='Cq and Delta Cq'!A16)*(Tbl_Input[Reporter]='Cq and Delta Cq'!$E$1),Tbl_Input[Cq])</f>
        <v>24.504308607530568</v>
      </c>
      <c r="F16" s="66" cm="1">
        <f t="array" ref="F16">_xlfn.XLOOKUP(1,(Tbl_Input[Well Position]='Cq and Delta Cq'!A16)*(Tbl_Input[Reporter]='Cq and Delta Cq'!$F$1),Tbl_Input[Cq])</f>
        <v>28.05814401694299</v>
      </c>
      <c r="G16" s="66" cm="1">
        <f t="array" ref="G16">_xlfn.XLOOKUP(1,(Tbl_Input[Well Position]='Cq and Delta Cq'!A16)*(Tbl_Input[Reporter]='Cq and Delta Cq'!$G$1),Tbl_Input[Cq])</f>
        <v>30.281649106288491</v>
      </c>
      <c r="I16" s="66" t="e">
        <f t="shared" si="1"/>
        <v>#VALUE!</v>
      </c>
      <c r="J16" s="66">
        <f t="shared" si="0"/>
        <v>2.2235050893455011</v>
      </c>
    </row>
    <row r="17" spans="1:10" x14ac:dyDescent="0.25">
      <c r="A17" s="60" t="str">
        <f>'Data Input'!B89</f>
        <v>B5</v>
      </c>
      <c r="B17" s="60" t="str">
        <f>'Data Input'!D89</f>
        <v>OM3-002_120 min</v>
      </c>
      <c r="C17" s="66" t="str" cm="1">
        <f t="array" ref="C17">_xlfn.XLOOKUP(1,(Tbl_Input[Well Position]='Cq and Delta Cq'!A17)*(Tbl_Input[Reporter]='Cq and Delta Cq'!$C$1),Tbl_Input[Cq])</f>
        <v>Undetermined</v>
      </c>
      <c r="D17" s="66" t="str" cm="1">
        <f t="array" ref="D17">_xlfn.XLOOKUP(1,(Tbl_Input[Well Position]='Cq and Delta Cq'!A17)*(Tbl_Input[Reporter]='Cq and Delta Cq'!$D$1),Tbl_Input[Cq])</f>
        <v>Undetermined</v>
      </c>
      <c r="E17" s="66" cm="1">
        <f t="array" ref="E17">_xlfn.XLOOKUP(1,(Tbl_Input[Well Position]='Cq and Delta Cq'!A17)*(Tbl_Input[Reporter]='Cq and Delta Cq'!$E$1),Tbl_Input[Cq])</f>
        <v>25.539513735968974</v>
      </c>
      <c r="F17" s="66" cm="1">
        <f t="array" ref="F17">_xlfn.XLOOKUP(1,(Tbl_Input[Well Position]='Cq and Delta Cq'!A17)*(Tbl_Input[Reporter]='Cq and Delta Cq'!$F$1),Tbl_Input[Cq])</f>
        <v>28.187705824677622</v>
      </c>
      <c r="G17" s="66" cm="1">
        <f t="array" ref="G17">_xlfn.XLOOKUP(1,(Tbl_Input[Well Position]='Cq and Delta Cq'!A17)*(Tbl_Input[Reporter]='Cq and Delta Cq'!$G$1),Tbl_Input[Cq])</f>
        <v>30.731935292017205</v>
      </c>
      <c r="I17" s="66" t="e">
        <f t="shared" si="1"/>
        <v>#VALUE!</v>
      </c>
      <c r="J17" s="66">
        <f t="shared" si="0"/>
        <v>2.5442294673395836</v>
      </c>
    </row>
    <row r="18" spans="1:10" x14ac:dyDescent="0.25">
      <c r="A18" s="60" t="str">
        <f>'Data Input'!B94</f>
        <v>B6</v>
      </c>
      <c r="B18" s="60" t="str">
        <f>'Data Input'!D94</f>
        <v>OM3-010_0 min</v>
      </c>
      <c r="C18" s="66" t="str" cm="1">
        <f t="array" ref="C18">_xlfn.XLOOKUP(1,(Tbl_Input[Well Position]='Cq and Delta Cq'!A18)*(Tbl_Input[Reporter]='Cq and Delta Cq'!$C$1),Tbl_Input[Cq])</f>
        <v>Undetermined</v>
      </c>
      <c r="D18" s="66" t="str" cm="1">
        <f t="array" ref="D18">_xlfn.XLOOKUP(1,(Tbl_Input[Well Position]='Cq and Delta Cq'!A18)*(Tbl_Input[Reporter]='Cq and Delta Cq'!$D$1),Tbl_Input[Cq])</f>
        <v>Undetermined</v>
      </c>
      <c r="E18" s="66" cm="1">
        <f t="array" ref="E18">_xlfn.XLOOKUP(1,(Tbl_Input[Well Position]='Cq and Delta Cq'!A18)*(Tbl_Input[Reporter]='Cq and Delta Cq'!$E$1),Tbl_Input[Cq])</f>
        <v>23.095781141994578</v>
      </c>
      <c r="F18" s="66" cm="1">
        <f t="array" ref="F18">_xlfn.XLOOKUP(1,(Tbl_Input[Well Position]='Cq and Delta Cq'!A18)*(Tbl_Input[Reporter]='Cq and Delta Cq'!$F$1),Tbl_Input[Cq])</f>
        <v>30.279534427064831</v>
      </c>
      <c r="G18" s="66" cm="1">
        <f t="array" ref="G18">_xlfn.XLOOKUP(1,(Tbl_Input[Well Position]='Cq and Delta Cq'!A18)*(Tbl_Input[Reporter]='Cq and Delta Cq'!$G$1),Tbl_Input[Cq])</f>
        <v>34.217902804651409</v>
      </c>
      <c r="I18" s="66" t="e">
        <f t="shared" si="1"/>
        <v>#VALUE!</v>
      </c>
      <c r="J18" s="66">
        <f t="shared" si="0"/>
        <v>3.9383683775865777</v>
      </c>
    </row>
    <row r="19" spans="1:10" x14ac:dyDescent="0.25">
      <c r="A19" s="60" t="str">
        <f>'Data Input'!B99</f>
        <v>B7</v>
      </c>
      <c r="B19" s="60" t="str">
        <f>'Data Input'!D99</f>
        <v>OM3-010_5 min</v>
      </c>
      <c r="C19" s="66" t="str" cm="1">
        <f t="array" ref="C19">_xlfn.XLOOKUP(1,(Tbl_Input[Well Position]='Cq and Delta Cq'!A19)*(Tbl_Input[Reporter]='Cq and Delta Cq'!$C$1),Tbl_Input[Cq])</f>
        <v>Undetermined</v>
      </c>
      <c r="D19" s="66" t="str" cm="1">
        <f t="array" ref="D19">_xlfn.XLOOKUP(1,(Tbl_Input[Well Position]='Cq and Delta Cq'!A19)*(Tbl_Input[Reporter]='Cq and Delta Cq'!$D$1),Tbl_Input[Cq])</f>
        <v>Undetermined</v>
      </c>
      <c r="E19" s="66" cm="1">
        <f t="array" ref="E19">_xlfn.XLOOKUP(1,(Tbl_Input[Well Position]='Cq and Delta Cq'!A19)*(Tbl_Input[Reporter]='Cq and Delta Cq'!$E$1),Tbl_Input[Cq])</f>
        <v>24.082877490500394</v>
      </c>
      <c r="F19" s="66" cm="1">
        <f t="array" ref="F19">_xlfn.XLOOKUP(1,(Tbl_Input[Well Position]='Cq and Delta Cq'!A19)*(Tbl_Input[Reporter]='Cq and Delta Cq'!$F$1),Tbl_Input[Cq])</f>
        <v>31.293726638783845</v>
      </c>
      <c r="G19" s="66" cm="1">
        <f t="array" ref="G19">_xlfn.XLOOKUP(1,(Tbl_Input[Well Position]='Cq and Delta Cq'!A19)*(Tbl_Input[Reporter]='Cq and Delta Cq'!$G$1),Tbl_Input[Cq])</f>
        <v>32.931955083178764</v>
      </c>
      <c r="I19" s="66" t="e">
        <f t="shared" si="1"/>
        <v>#VALUE!</v>
      </c>
      <c r="J19" s="66">
        <f t="shared" si="0"/>
        <v>1.6382284443949189</v>
      </c>
    </row>
    <row r="20" spans="1:10" x14ac:dyDescent="0.25">
      <c r="A20" s="60" t="str">
        <f>'Data Input'!B104</f>
        <v>B8</v>
      </c>
      <c r="B20" s="60" t="str">
        <f>'Data Input'!D104</f>
        <v>OM3-010_30 min</v>
      </c>
      <c r="C20" s="66" t="str" cm="1">
        <f t="array" ref="C20">_xlfn.XLOOKUP(1,(Tbl_Input[Well Position]='Cq and Delta Cq'!A20)*(Tbl_Input[Reporter]='Cq and Delta Cq'!$C$1),Tbl_Input[Cq])</f>
        <v>Undetermined</v>
      </c>
      <c r="D20" s="66" t="str" cm="1">
        <f t="array" ref="D20">_xlfn.XLOOKUP(1,(Tbl_Input[Well Position]='Cq and Delta Cq'!A20)*(Tbl_Input[Reporter]='Cq and Delta Cq'!$D$1),Tbl_Input[Cq])</f>
        <v>Undetermined</v>
      </c>
      <c r="E20" s="66" cm="1">
        <f t="array" ref="E20">_xlfn.XLOOKUP(1,(Tbl_Input[Well Position]='Cq and Delta Cq'!A20)*(Tbl_Input[Reporter]='Cq and Delta Cq'!$E$1),Tbl_Input[Cq])</f>
        <v>24.222264737037385</v>
      </c>
      <c r="F20" s="66" cm="1">
        <f t="array" ref="F20">_xlfn.XLOOKUP(1,(Tbl_Input[Well Position]='Cq and Delta Cq'!A20)*(Tbl_Input[Reporter]='Cq and Delta Cq'!$F$1),Tbl_Input[Cq])</f>
        <v>32.555615056866756</v>
      </c>
      <c r="G20" s="66" cm="1">
        <f t="array" ref="G20">_xlfn.XLOOKUP(1,(Tbl_Input[Well Position]='Cq and Delta Cq'!A20)*(Tbl_Input[Reporter]='Cq and Delta Cq'!$G$1),Tbl_Input[Cq])</f>
        <v>34.895367469882622</v>
      </c>
      <c r="I20" s="66" t="e">
        <f t="shared" si="1"/>
        <v>#VALUE!</v>
      </c>
      <c r="J20" s="66">
        <f t="shared" si="0"/>
        <v>2.3397524130158658</v>
      </c>
    </row>
    <row r="21" spans="1:10" x14ac:dyDescent="0.25">
      <c r="A21" s="60" t="str">
        <f>'Data Input'!B109</f>
        <v>B9</v>
      </c>
      <c r="B21" s="60" t="str">
        <f>'Data Input'!D109</f>
        <v>OM3-010_60 min</v>
      </c>
      <c r="C21" s="66" t="str" cm="1">
        <f t="array" ref="C21">_xlfn.XLOOKUP(1,(Tbl_Input[Well Position]='Cq and Delta Cq'!A21)*(Tbl_Input[Reporter]='Cq and Delta Cq'!$C$1),Tbl_Input[Cq])</f>
        <v>Undetermined</v>
      </c>
      <c r="D21" s="66" t="str" cm="1">
        <f t="array" ref="D21">_xlfn.XLOOKUP(1,(Tbl_Input[Well Position]='Cq and Delta Cq'!A21)*(Tbl_Input[Reporter]='Cq and Delta Cq'!$D$1),Tbl_Input[Cq])</f>
        <v>Undetermined</v>
      </c>
      <c r="E21" s="66" cm="1">
        <f t="array" ref="E21">_xlfn.XLOOKUP(1,(Tbl_Input[Well Position]='Cq and Delta Cq'!A21)*(Tbl_Input[Reporter]='Cq and Delta Cq'!$E$1),Tbl_Input[Cq])</f>
        <v>22.678440144233299</v>
      </c>
      <c r="F21" s="66" cm="1">
        <f t="array" ref="F21">_xlfn.XLOOKUP(1,(Tbl_Input[Well Position]='Cq and Delta Cq'!A21)*(Tbl_Input[Reporter]='Cq and Delta Cq'!$F$1),Tbl_Input[Cq])</f>
        <v>29.416589652098168</v>
      </c>
      <c r="G21" s="66" cm="1">
        <f t="array" ref="G21">_xlfn.XLOOKUP(1,(Tbl_Input[Well Position]='Cq and Delta Cq'!A21)*(Tbl_Input[Reporter]='Cq and Delta Cq'!$G$1),Tbl_Input[Cq])</f>
        <v>31.292783103780828</v>
      </c>
      <c r="I21" s="66" t="e">
        <f t="shared" si="1"/>
        <v>#VALUE!</v>
      </c>
      <c r="J21" s="66">
        <f t="shared" si="0"/>
        <v>1.8761934516826599</v>
      </c>
    </row>
    <row r="22" spans="1:10" x14ac:dyDescent="0.25">
      <c r="A22" s="60" t="str">
        <f>'Data Input'!B114</f>
        <v>B10</v>
      </c>
      <c r="B22" s="60" t="str">
        <f>'Data Input'!D114</f>
        <v>OM3-010_120 min</v>
      </c>
      <c r="C22" s="66" t="str" cm="1">
        <f t="array" ref="C22">_xlfn.XLOOKUP(1,(Tbl_Input[Well Position]='Cq and Delta Cq'!A22)*(Tbl_Input[Reporter]='Cq and Delta Cq'!$C$1),Tbl_Input[Cq])</f>
        <v>Undetermined</v>
      </c>
      <c r="D22" s="66" t="str" cm="1">
        <f t="array" ref="D22">_xlfn.XLOOKUP(1,(Tbl_Input[Well Position]='Cq and Delta Cq'!A22)*(Tbl_Input[Reporter]='Cq and Delta Cq'!$D$1),Tbl_Input[Cq])</f>
        <v>Undetermined</v>
      </c>
      <c r="E22" s="66" cm="1">
        <f t="array" ref="E22">_xlfn.XLOOKUP(1,(Tbl_Input[Well Position]='Cq and Delta Cq'!A22)*(Tbl_Input[Reporter]='Cq and Delta Cq'!$E$1),Tbl_Input[Cq])</f>
        <v>23.336325353783515</v>
      </c>
      <c r="F22" s="66" cm="1">
        <f t="array" ref="F22">_xlfn.XLOOKUP(1,(Tbl_Input[Well Position]='Cq and Delta Cq'!A22)*(Tbl_Input[Reporter]='Cq and Delta Cq'!$F$1),Tbl_Input[Cq])</f>
        <v>31.025138189075584</v>
      </c>
      <c r="G22" s="66" cm="1">
        <f t="array" ref="G22">_xlfn.XLOOKUP(1,(Tbl_Input[Well Position]='Cq and Delta Cq'!A22)*(Tbl_Input[Reporter]='Cq and Delta Cq'!$G$1),Tbl_Input[Cq])</f>
        <v>32.729335739530441</v>
      </c>
      <c r="I22" s="66" t="e">
        <f t="shared" si="1"/>
        <v>#VALUE!</v>
      </c>
      <c r="J22" s="66">
        <f t="shared" si="0"/>
        <v>1.7041975504548574</v>
      </c>
    </row>
    <row r="23" spans="1:10" x14ac:dyDescent="0.25">
      <c r="A23" s="60" t="str">
        <f>'Data Input'!B119</f>
        <v>B12</v>
      </c>
      <c r="B23" s="60" t="str">
        <f>'Data Input'!D119</f>
        <v>NTC</v>
      </c>
      <c r="C23" s="66" t="str" cm="1">
        <f t="array" ref="C23">_xlfn.XLOOKUP(1,(Tbl_Input[Well Position]='Cq and Delta Cq'!A23)*(Tbl_Input[Reporter]='Cq and Delta Cq'!$C$1),Tbl_Input[Cq])</f>
        <v>Undetermined</v>
      </c>
      <c r="D23" s="66" t="str" cm="1">
        <f t="array" ref="D23">_xlfn.XLOOKUP(1,(Tbl_Input[Well Position]='Cq and Delta Cq'!A23)*(Tbl_Input[Reporter]='Cq and Delta Cq'!$D$1),Tbl_Input[Cq])</f>
        <v>Undetermined</v>
      </c>
      <c r="E23" s="66" t="str" cm="1">
        <f t="array" ref="E23">_xlfn.XLOOKUP(1,(Tbl_Input[Well Position]='Cq and Delta Cq'!A23)*(Tbl_Input[Reporter]='Cq and Delta Cq'!$E$1),Tbl_Input[Cq])</f>
        <v>Undetermined</v>
      </c>
      <c r="F23" s="66" t="str" cm="1">
        <f t="array" ref="F23">_xlfn.XLOOKUP(1,(Tbl_Input[Well Position]='Cq and Delta Cq'!A23)*(Tbl_Input[Reporter]='Cq and Delta Cq'!$F$1),Tbl_Input[Cq])</f>
        <v>Undetermined</v>
      </c>
      <c r="G23" s="66" t="str" cm="1">
        <f t="array" ref="G23">_xlfn.XLOOKUP(1,(Tbl_Input[Well Position]='Cq and Delta Cq'!A23)*(Tbl_Input[Reporter]='Cq and Delta Cq'!$G$1),Tbl_Input[Cq])</f>
        <v>Undetermined</v>
      </c>
      <c r="I23" s="66" t="e">
        <f t="shared" si="1"/>
        <v>#VALUE!</v>
      </c>
      <c r="J23" s="66" t="e">
        <f t="shared" si="0"/>
        <v>#VALUE!</v>
      </c>
    </row>
    <row r="24" spans="1:10" x14ac:dyDescent="0.25">
      <c r="A24" s="60" t="str">
        <f>'Data Input'!B124</f>
        <v>C1</v>
      </c>
      <c r="B24" s="60" t="str">
        <f>'Data Input'!D124</f>
        <v>OM3-003_0 min</v>
      </c>
      <c r="C24" s="66" t="str" cm="1">
        <f t="array" ref="C24">_xlfn.XLOOKUP(1,(Tbl_Input[Well Position]='Cq and Delta Cq'!A24)*(Tbl_Input[Reporter]='Cq and Delta Cq'!$C$1),Tbl_Input[Cq])</f>
        <v>Undetermined</v>
      </c>
      <c r="D24" s="66" t="str" cm="1">
        <f t="array" ref="D24">_xlfn.XLOOKUP(1,(Tbl_Input[Well Position]='Cq and Delta Cq'!A24)*(Tbl_Input[Reporter]='Cq and Delta Cq'!$D$1),Tbl_Input[Cq])</f>
        <v>Undetermined</v>
      </c>
      <c r="E24" s="66" cm="1">
        <f t="array" ref="E24">_xlfn.XLOOKUP(1,(Tbl_Input[Well Position]='Cq and Delta Cq'!A24)*(Tbl_Input[Reporter]='Cq and Delta Cq'!$E$1),Tbl_Input[Cq])</f>
        <v>26.621511797304027</v>
      </c>
      <c r="F24" s="66" cm="1">
        <f t="array" ref="F24">_xlfn.XLOOKUP(1,(Tbl_Input[Well Position]='Cq and Delta Cq'!A24)*(Tbl_Input[Reporter]='Cq and Delta Cq'!$F$1),Tbl_Input[Cq])</f>
        <v>35.503399425157667</v>
      </c>
      <c r="G24" s="66" t="str" cm="1">
        <f t="array" ref="G24">_xlfn.XLOOKUP(1,(Tbl_Input[Well Position]='Cq and Delta Cq'!A24)*(Tbl_Input[Reporter]='Cq and Delta Cq'!$G$1),Tbl_Input[Cq])</f>
        <v>Undetermined</v>
      </c>
      <c r="I24" s="66" t="e">
        <f t="shared" si="1"/>
        <v>#VALUE!</v>
      </c>
      <c r="J24" s="66" t="e">
        <f t="shared" si="0"/>
        <v>#VALUE!</v>
      </c>
    </row>
    <row r="25" spans="1:10" x14ac:dyDescent="0.25">
      <c r="A25" s="60" t="str">
        <f>'Data Input'!B129</f>
        <v>C2</v>
      </c>
      <c r="B25" s="60" t="str">
        <f>'Data Input'!D129</f>
        <v>OM3-003_5 min</v>
      </c>
      <c r="C25" s="66" t="str" cm="1">
        <f t="array" ref="C25">_xlfn.XLOOKUP(1,(Tbl_Input[Well Position]='Cq and Delta Cq'!A25)*(Tbl_Input[Reporter]='Cq and Delta Cq'!$C$1),Tbl_Input[Cq])</f>
        <v>Undetermined</v>
      </c>
      <c r="D25" s="66" t="str" cm="1">
        <f t="array" ref="D25">_xlfn.XLOOKUP(1,(Tbl_Input[Well Position]='Cq and Delta Cq'!A25)*(Tbl_Input[Reporter]='Cq and Delta Cq'!$D$1),Tbl_Input[Cq])</f>
        <v>Undetermined</v>
      </c>
      <c r="E25" s="66" cm="1">
        <f t="array" ref="E25">_xlfn.XLOOKUP(1,(Tbl_Input[Well Position]='Cq and Delta Cq'!A25)*(Tbl_Input[Reporter]='Cq and Delta Cq'!$E$1),Tbl_Input[Cq])</f>
        <v>26.958521828611779</v>
      </c>
      <c r="F25" s="66" cm="1">
        <f t="array" ref="F25">_xlfn.XLOOKUP(1,(Tbl_Input[Well Position]='Cq and Delta Cq'!A25)*(Tbl_Input[Reporter]='Cq and Delta Cq'!$F$1),Tbl_Input[Cq])</f>
        <v>35.14467167590675</v>
      </c>
      <c r="G25" s="66" cm="1">
        <f t="array" ref="G25">_xlfn.XLOOKUP(1,(Tbl_Input[Well Position]='Cq and Delta Cq'!A25)*(Tbl_Input[Reporter]='Cq and Delta Cq'!$G$1),Tbl_Input[Cq])</f>
        <v>40.666512316997682</v>
      </c>
      <c r="I25" s="66" t="e">
        <f t="shared" si="1"/>
        <v>#VALUE!</v>
      </c>
      <c r="J25" s="66">
        <f t="shared" si="0"/>
        <v>5.5218406410909324</v>
      </c>
    </row>
    <row r="26" spans="1:10" x14ac:dyDescent="0.25">
      <c r="A26" s="60" t="str">
        <f>'Data Input'!B134</f>
        <v>C3</v>
      </c>
      <c r="B26" s="60" t="str">
        <f>'Data Input'!D134</f>
        <v>OM3-003_30 min</v>
      </c>
      <c r="C26" s="66" t="str" cm="1">
        <f t="array" ref="C26">_xlfn.XLOOKUP(1,(Tbl_Input[Well Position]='Cq and Delta Cq'!A26)*(Tbl_Input[Reporter]='Cq and Delta Cq'!$C$1),Tbl_Input[Cq])</f>
        <v>Undetermined</v>
      </c>
      <c r="D26" s="66" t="str" cm="1">
        <f t="array" ref="D26">_xlfn.XLOOKUP(1,(Tbl_Input[Well Position]='Cq and Delta Cq'!A26)*(Tbl_Input[Reporter]='Cq and Delta Cq'!$D$1),Tbl_Input[Cq])</f>
        <v>Undetermined</v>
      </c>
      <c r="E26" s="66" cm="1">
        <f t="array" ref="E26">_xlfn.XLOOKUP(1,(Tbl_Input[Well Position]='Cq and Delta Cq'!A26)*(Tbl_Input[Reporter]='Cq and Delta Cq'!$E$1),Tbl_Input[Cq])</f>
        <v>25.943404544095216</v>
      </c>
      <c r="F26" s="66" cm="1">
        <f t="array" ref="F26">_xlfn.XLOOKUP(1,(Tbl_Input[Well Position]='Cq and Delta Cq'!A26)*(Tbl_Input[Reporter]='Cq and Delta Cq'!$F$1),Tbl_Input[Cq])</f>
        <v>29.945086807279246</v>
      </c>
      <c r="G26" s="66" cm="1">
        <f t="array" ref="G26">_xlfn.XLOOKUP(1,(Tbl_Input[Well Position]='Cq and Delta Cq'!A26)*(Tbl_Input[Reporter]='Cq and Delta Cq'!$G$1),Tbl_Input[Cq])</f>
        <v>33.122380189446091</v>
      </c>
      <c r="I26" s="66" t="e">
        <f t="shared" si="1"/>
        <v>#VALUE!</v>
      </c>
      <c r="J26" s="66">
        <f t="shared" si="0"/>
        <v>3.1772933821668445</v>
      </c>
    </row>
    <row r="27" spans="1:10" x14ac:dyDescent="0.25">
      <c r="A27" s="60" t="str">
        <f>'Data Input'!B139</f>
        <v>C4</v>
      </c>
      <c r="B27" s="60" t="str">
        <f>'Data Input'!D139</f>
        <v>OM3-003_60 min</v>
      </c>
      <c r="C27" s="66" t="str" cm="1">
        <f t="array" ref="C27">_xlfn.XLOOKUP(1,(Tbl_Input[Well Position]='Cq and Delta Cq'!A27)*(Tbl_Input[Reporter]='Cq and Delta Cq'!$C$1),Tbl_Input[Cq])</f>
        <v>Undetermined</v>
      </c>
      <c r="D27" s="66" t="str" cm="1">
        <f t="array" ref="D27">_xlfn.XLOOKUP(1,(Tbl_Input[Well Position]='Cq and Delta Cq'!A27)*(Tbl_Input[Reporter]='Cq and Delta Cq'!$D$1),Tbl_Input[Cq])</f>
        <v>Undetermined</v>
      </c>
      <c r="E27" s="66" cm="1">
        <f t="array" ref="E27">_xlfn.XLOOKUP(1,(Tbl_Input[Well Position]='Cq and Delta Cq'!A27)*(Tbl_Input[Reporter]='Cq and Delta Cq'!$E$1),Tbl_Input[Cq])</f>
        <v>25.638818615277607</v>
      </c>
      <c r="F27" s="66" cm="1">
        <f t="array" ref="F27">_xlfn.XLOOKUP(1,(Tbl_Input[Well Position]='Cq and Delta Cq'!A27)*(Tbl_Input[Reporter]='Cq and Delta Cq'!$F$1),Tbl_Input[Cq])</f>
        <v>32.870416345143965</v>
      </c>
      <c r="G27" s="66" cm="1">
        <f t="array" ref="G27">_xlfn.XLOOKUP(1,(Tbl_Input[Well Position]='Cq and Delta Cq'!A27)*(Tbl_Input[Reporter]='Cq and Delta Cq'!$G$1),Tbl_Input[Cq])</f>
        <v>40.034603635155563</v>
      </c>
      <c r="I27" s="66" t="e">
        <f t="shared" si="1"/>
        <v>#VALUE!</v>
      </c>
      <c r="J27" s="66">
        <f t="shared" si="0"/>
        <v>7.164187290011597</v>
      </c>
    </row>
    <row r="28" spans="1:10" x14ac:dyDescent="0.25">
      <c r="A28" s="60" t="str">
        <f>'Data Input'!B144</f>
        <v>C5</v>
      </c>
      <c r="B28" s="60" t="str">
        <f>'Data Input'!D144</f>
        <v>OM3-003_120 min</v>
      </c>
      <c r="C28" s="66" t="str" cm="1">
        <f t="array" ref="C28">_xlfn.XLOOKUP(1,(Tbl_Input[Well Position]='Cq and Delta Cq'!A28)*(Tbl_Input[Reporter]='Cq and Delta Cq'!$C$1),Tbl_Input[Cq])</f>
        <v>Undetermined</v>
      </c>
      <c r="D28" s="66" t="str" cm="1">
        <f t="array" ref="D28">_xlfn.XLOOKUP(1,(Tbl_Input[Well Position]='Cq and Delta Cq'!A28)*(Tbl_Input[Reporter]='Cq and Delta Cq'!$D$1),Tbl_Input[Cq])</f>
        <v>Undetermined</v>
      </c>
      <c r="E28" s="66" cm="1">
        <f t="array" ref="E28">_xlfn.XLOOKUP(1,(Tbl_Input[Well Position]='Cq and Delta Cq'!A28)*(Tbl_Input[Reporter]='Cq and Delta Cq'!$E$1),Tbl_Input[Cq])</f>
        <v>25.436696312125143</v>
      </c>
      <c r="F28" s="66" cm="1">
        <f t="array" ref="F28">_xlfn.XLOOKUP(1,(Tbl_Input[Well Position]='Cq and Delta Cq'!A28)*(Tbl_Input[Reporter]='Cq and Delta Cq'!$F$1),Tbl_Input[Cq])</f>
        <v>34.179692642400674</v>
      </c>
      <c r="G28" s="66" cm="1">
        <f t="array" ref="G28">_xlfn.XLOOKUP(1,(Tbl_Input[Well Position]='Cq and Delta Cq'!A28)*(Tbl_Input[Reporter]='Cq and Delta Cq'!$G$1),Tbl_Input[Cq])</f>
        <v>38.692705855431626</v>
      </c>
      <c r="I28" s="66" t="e">
        <f t="shared" si="1"/>
        <v>#VALUE!</v>
      </c>
      <c r="J28" s="66">
        <f t="shared" si="0"/>
        <v>4.5130132130309519</v>
      </c>
    </row>
    <row r="29" spans="1:10" x14ac:dyDescent="0.25">
      <c r="A29" s="60" t="str">
        <f>'Data Input'!B149</f>
        <v>C6</v>
      </c>
      <c r="B29" s="60" t="str">
        <f>'Data Input'!D149</f>
        <v>OM3-011_0 min</v>
      </c>
      <c r="C29" s="66" t="str" cm="1">
        <f t="array" ref="C29">_xlfn.XLOOKUP(1,(Tbl_Input[Well Position]='Cq and Delta Cq'!A29)*(Tbl_Input[Reporter]='Cq and Delta Cq'!$C$1),Tbl_Input[Cq])</f>
        <v>Undetermined</v>
      </c>
      <c r="D29" s="66" t="str" cm="1">
        <f t="array" ref="D29">_xlfn.XLOOKUP(1,(Tbl_Input[Well Position]='Cq and Delta Cq'!A29)*(Tbl_Input[Reporter]='Cq and Delta Cq'!$D$1),Tbl_Input[Cq])</f>
        <v>Undetermined</v>
      </c>
      <c r="E29" s="66" cm="1">
        <f t="array" ref="E29">_xlfn.XLOOKUP(1,(Tbl_Input[Well Position]='Cq and Delta Cq'!A29)*(Tbl_Input[Reporter]='Cq and Delta Cq'!$E$1),Tbl_Input[Cq])</f>
        <v>24.239156112203773</v>
      </c>
      <c r="F29" s="66" cm="1">
        <f t="array" ref="F29">_xlfn.XLOOKUP(1,(Tbl_Input[Well Position]='Cq and Delta Cq'!A29)*(Tbl_Input[Reporter]='Cq and Delta Cq'!$F$1),Tbl_Input[Cq])</f>
        <v>25.671543928674801</v>
      </c>
      <c r="G29" s="66" cm="1">
        <f t="array" ref="G29">_xlfn.XLOOKUP(1,(Tbl_Input[Well Position]='Cq and Delta Cq'!A29)*(Tbl_Input[Reporter]='Cq and Delta Cq'!$G$1),Tbl_Input[Cq])</f>
        <v>28.97922331726107</v>
      </c>
      <c r="I29" s="66" t="e">
        <f t="shared" si="1"/>
        <v>#VALUE!</v>
      </c>
      <c r="J29" s="66">
        <f t="shared" si="0"/>
        <v>3.3076793885862692</v>
      </c>
    </row>
    <row r="30" spans="1:10" x14ac:dyDescent="0.25">
      <c r="A30" s="60" t="str">
        <f>'Data Input'!B154</f>
        <v>C7</v>
      </c>
      <c r="B30" s="60" t="str">
        <f>'Data Input'!D154</f>
        <v>OM3-011_5 min</v>
      </c>
      <c r="C30" s="66" t="str" cm="1">
        <f t="array" ref="C30">_xlfn.XLOOKUP(1,(Tbl_Input[Well Position]='Cq and Delta Cq'!A30)*(Tbl_Input[Reporter]='Cq and Delta Cq'!$C$1),Tbl_Input[Cq])</f>
        <v>Undetermined</v>
      </c>
      <c r="D30" s="66" t="str" cm="1">
        <f t="array" ref="D30">_xlfn.XLOOKUP(1,(Tbl_Input[Well Position]='Cq and Delta Cq'!A30)*(Tbl_Input[Reporter]='Cq and Delta Cq'!$D$1),Tbl_Input[Cq])</f>
        <v>Undetermined</v>
      </c>
      <c r="E30" s="66" cm="1">
        <f t="array" ref="E30">_xlfn.XLOOKUP(1,(Tbl_Input[Well Position]='Cq and Delta Cq'!A30)*(Tbl_Input[Reporter]='Cq and Delta Cq'!$E$1),Tbl_Input[Cq])</f>
        <v>26.95475723353934</v>
      </c>
      <c r="F30" s="66" cm="1">
        <f t="array" ref="F30">_xlfn.XLOOKUP(1,(Tbl_Input[Well Position]='Cq and Delta Cq'!A30)*(Tbl_Input[Reporter]='Cq and Delta Cq'!$F$1),Tbl_Input[Cq])</f>
        <v>28.768661934636121</v>
      </c>
      <c r="G30" s="66" cm="1">
        <f t="array" ref="G30">_xlfn.XLOOKUP(1,(Tbl_Input[Well Position]='Cq and Delta Cq'!A30)*(Tbl_Input[Reporter]='Cq and Delta Cq'!$G$1),Tbl_Input[Cq])</f>
        <v>30.930132329104048</v>
      </c>
      <c r="I30" s="66" t="e">
        <f t="shared" si="1"/>
        <v>#VALUE!</v>
      </c>
      <c r="J30" s="66">
        <f t="shared" si="0"/>
        <v>2.1614703944679263</v>
      </c>
    </row>
    <row r="31" spans="1:10" x14ac:dyDescent="0.25">
      <c r="A31" s="60" t="str">
        <f>'Data Input'!B159</f>
        <v>C8</v>
      </c>
      <c r="B31" s="60" t="str">
        <f>'Data Input'!D159</f>
        <v>OM3-011_30 min</v>
      </c>
      <c r="C31" s="66" t="str" cm="1">
        <f t="array" ref="C31">_xlfn.XLOOKUP(1,(Tbl_Input[Well Position]='Cq and Delta Cq'!A31)*(Tbl_Input[Reporter]='Cq and Delta Cq'!$C$1),Tbl_Input[Cq])</f>
        <v>Undetermined</v>
      </c>
      <c r="D31" s="66" t="str" cm="1">
        <f t="array" ref="D31">_xlfn.XLOOKUP(1,(Tbl_Input[Well Position]='Cq and Delta Cq'!A31)*(Tbl_Input[Reporter]='Cq and Delta Cq'!$D$1),Tbl_Input[Cq])</f>
        <v>Undetermined</v>
      </c>
      <c r="E31" s="66" cm="1">
        <f t="array" ref="E31">_xlfn.XLOOKUP(1,(Tbl_Input[Well Position]='Cq and Delta Cq'!A31)*(Tbl_Input[Reporter]='Cq and Delta Cq'!$E$1),Tbl_Input[Cq])</f>
        <v>25.404728875156351</v>
      </c>
      <c r="F31" s="66" cm="1">
        <f t="array" ref="F31">_xlfn.XLOOKUP(1,(Tbl_Input[Well Position]='Cq and Delta Cq'!A31)*(Tbl_Input[Reporter]='Cq and Delta Cq'!$F$1),Tbl_Input[Cq])</f>
        <v>27.949953669167037</v>
      </c>
      <c r="G31" s="66" cm="1">
        <f t="array" ref="G31">_xlfn.XLOOKUP(1,(Tbl_Input[Well Position]='Cq and Delta Cq'!A31)*(Tbl_Input[Reporter]='Cq and Delta Cq'!$G$1),Tbl_Input[Cq])</f>
        <v>31.329801909604839</v>
      </c>
      <c r="I31" s="66" t="e">
        <f t="shared" si="1"/>
        <v>#VALUE!</v>
      </c>
      <c r="J31" s="66">
        <f t="shared" si="0"/>
        <v>3.3798482404378021</v>
      </c>
    </row>
    <row r="32" spans="1:10" x14ac:dyDescent="0.25">
      <c r="A32" s="60" t="str">
        <f>'Data Input'!B164</f>
        <v>C9</v>
      </c>
      <c r="B32" s="60" t="str">
        <f>'Data Input'!D164</f>
        <v>OM3-011_60 min</v>
      </c>
      <c r="C32" s="66" t="str" cm="1">
        <f t="array" ref="C32">_xlfn.XLOOKUP(1,(Tbl_Input[Well Position]='Cq and Delta Cq'!A32)*(Tbl_Input[Reporter]='Cq and Delta Cq'!$C$1),Tbl_Input[Cq])</f>
        <v>Undetermined</v>
      </c>
      <c r="D32" s="66" t="str" cm="1">
        <f t="array" ref="D32">_xlfn.XLOOKUP(1,(Tbl_Input[Well Position]='Cq and Delta Cq'!A32)*(Tbl_Input[Reporter]='Cq and Delta Cq'!$D$1),Tbl_Input[Cq])</f>
        <v>Undetermined</v>
      </c>
      <c r="E32" s="66" cm="1">
        <f t="array" ref="E32">_xlfn.XLOOKUP(1,(Tbl_Input[Well Position]='Cq and Delta Cq'!A32)*(Tbl_Input[Reporter]='Cq and Delta Cq'!$E$1),Tbl_Input[Cq])</f>
        <v>27.243512937325043</v>
      </c>
      <c r="F32" s="66" cm="1">
        <f t="array" ref="F32">_xlfn.XLOOKUP(1,(Tbl_Input[Well Position]='Cq and Delta Cq'!A32)*(Tbl_Input[Reporter]='Cq and Delta Cq'!$F$1),Tbl_Input[Cq])</f>
        <v>31.007633519268367</v>
      </c>
      <c r="G32" s="66" cm="1">
        <f t="array" ref="G32">_xlfn.XLOOKUP(1,(Tbl_Input[Well Position]='Cq and Delta Cq'!A32)*(Tbl_Input[Reporter]='Cq and Delta Cq'!$G$1),Tbl_Input[Cq])</f>
        <v>33.220776524327043</v>
      </c>
      <c r="I32" s="66" t="e">
        <f t="shared" si="1"/>
        <v>#VALUE!</v>
      </c>
      <c r="J32" s="66">
        <f t="shared" si="0"/>
        <v>2.2131430050586758</v>
      </c>
    </row>
    <row r="33" spans="1:10" x14ac:dyDescent="0.25">
      <c r="A33" s="60" t="str">
        <f>'Data Input'!B169</f>
        <v>C10</v>
      </c>
      <c r="B33" s="60" t="str">
        <f>'Data Input'!D169</f>
        <v>OM3-011_120 min</v>
      </c>
      <c r="C33" s="66" t="str" cm="1">
        <f t="array" ref="C33">_xlfn.XLOOKUP(1,(Tbl_Input[Well Position]='Cq and Delta Cq'!A33)*(Tbl_Input[Reporter]='Cq and Delta Cq'!$C$1),Tbl_Input[Cq])</f>
        <v>Undetermined</v>
      </c>
      <c r="D33" s="66" t="str" cm="1">
        <f t="array" ref="D33">_xlfn.XLOOKUP(1,(Tbl_Input[Well Position]='Cq and Delta Cq'!A33)*(Tbl_Input[Reporter]='Cq and Delta Cq'!$D$1),Tbl_Input[Cq])</f>
        <v>Undetermined</v>
      </c>
      <c r="E33" s="66" cm="1">
        <f t="array" ref="E33">_xlfn.XLOOKUP(1,(Tbl_Input[Well Position]='Cq and Delta Cq'!A33)*(Tbl_Input[Reporter]='Cq and Delta Cq'!$E$1),Tbl_Input[Cq])</f>
        <v>26.654273241886081</v>
      </c>
      <c r="F33" s="66" cm="1">
        <f t="array" ref="F33">_xlfn.XLOOKUP(1,(Tbl_Input[Well Position]='Cq and Delta Cq'!A33)*(Tbl_Input[Reporter]='Cq and Delta Cq'!$F$1),Tbl_Input[Cq])</f>
        <v>33.942958454545476</v>
      </c>
      <c r="G33" s="66" t="str" cm="1">
        <f t="array" ref="G33">_xlfn.XLOOKUP(1,(Tbl_Input[Well Position]='Cq and Delta Cq'!A33)*(Tbl_Input[Reporter]='Cq and Delta Cq'!$G$1),Tbl_Input[Cq])</f>
        <v>Undetermined</v>
      </c>
      <c r="I33" s="66" t="e">
        <f t="shared" si="1"/>
        <v>#VALUE!</v>
      </c>
      <c r="J33" s="66" t="e">
        <f t="shared" si="0"/>
        <v>#VALUE!</v>
      </c>
    </row>
    <row r="34" spans="1:10" x14ac:dyDescent="0.25">
      <c r="A34" s="60" t="str">
        <f>'Data Input'!B174</f>
        <v>C12</v>
      </c>
      <c r="B34" s="60" t="str">
        <f>'Data Input'!D174</f>
        <v>CT/NG gblock</v>
      </c>
      <c r="C34" s="66" cm="1">
        <f t="array" ref="C34">_xlfn.XLOOKUP(1,(Tbl_Input[Well Position]='Cq and Delta Cq'!A34)*(Tbl_Input[Reporter]='Cq and Delta Cq'!$C$1),Tbl_Input[Cq])</f>
        <v>27.757595902642798</v>
      </c>
      <c r="D34" s="66" cm="1">
        <f t="array" ref="D34">_xlfn.XLOOKUP(1,(Tbl_Input[Well Position]='Cq and Delta Cq'!A34)*(Tbl_Input[Reporter]='Cq and Delta Cq'!$D$1),Tbl_Input[Cq])</f>
        <v>28.652821450289743</v>
      </c>
      <c r="E34" s="66" t="str" cm="1">
        <f t="array" ref="E34">_xlfn.XLOOKUP(1,(Tbl_Input[Well Position]='Cq and Delta Cq'!A34)*(Tbl_Input[Reporter]='Cq and Delta Cq'!$E$1),Tbl_Input[Cq])</f>
        <v>Undetermined</v>
      </c>
      <c r="F34" s="66" cm="1">
        <f t="array" ref="F34">_xlfn.XLOOKUP(1,(Tbl_Input[Well Position]='Cq and Delta Cq'!A34)*(Tbl_Input[Reporter]='Cq and Delta Cq'!$F$1),Tbl_Input[Cq])</f>
        <v>27.407102123226018</v>
      </c>
      <c r="G34" s="66" cm="1">
        <f t="array" ref="G34">_xlfn.XLOOKUP(1,(Tbl_Input[Well Position]='Cq and Delta Cq'!A34)*(Tbl_Input[Reporter]='Cq and Delta Cq'!$G$1),Tbl_Input[Cq])</f>
        <v>28.598585274968364</v>
      </c>
      <c r="I34" s="66">
        <f t="shared" ref="I34:I65" si="2">D34-C34</f>
        <v>0.89522554764694462</v>
      </c>
      <c r="J34" s="66">
        <f t="shared" ref="J34:J65" si="3">G34-F34</f>
        <v>1.1914831517423465</v>
      </c>
    </row>
    <row r="35" spans="1:10" x14ac:dyDescent="0.25">
      <c r="A35" s="60" t="str">
        <f>'Data Input'!B179</f>
        <v>D1</v>
      </c>
      <c r="B35" s="60" t="str">
        <f>'Data Input'!D179</f>
        <v>OM3-004_0 min</v>
      </c>
      <c r="C35" s="66" t="str" cm="1">
        <f t="array" ref="C35">_xlfn.XLOOKUP(1,(Tbl_Input[Well Position]='Cq and Delta Cq'!A35)*(Tbl_Input[Reporter]='Cq and Delta Cq'!$C$1),Tbl_Input[Cq])</f>
        <v>Undetermined</v>
      </c>
      <c r="D35" s="66" t="str" cm="1">
        <f t="array" ref="D35">_xlfn.XLOOKUP(1,(Tbl_Input[Well Position]='Cq and Delta Cq'!A35)*(Tbl_Input[Reporter]='Cq and Delta Cq'!$D$1),Tbl_Input[Cq])</f>
        <v>Undetermined</v>
      </c>
      <c r="E35" s="66" cm="1">
        <f t="array" ref="E35">_xlfn.XLOOKUP(1,(Tbl_Input[Well Position]='Cq and Delta Cq'!A35)*(Tbl_Input[Reporter]='Cq and Delta Cq'!$E$1),Tbl_Input[Cq])</f>
        <v>25.729278390992441</v>
      </c>
      <c r="F35" s="66" cm="1">
        <f t="array" ref="F35">_xlfn.XLOOKUP(1,(Tbl_Input[Well Position]='Cq and Delta Cq'!A35)*(Tbl_Input[Reporter]='Cq and Delta Cq'!$F$1),Tbl_Input[Cq])</f>
        <v>27.838616373268088</v>
      </c>
      <c r="G35" s="66" cm="1">
        <f t="array" ref="G35">_xlfn.XLOOKUP(1,(Tbl_Input[Well Position]='Cq and Delta Cq'!A35)*(Tbl_Input[Reporter]='Cq and Delta Cq'!$G$1),Tbl_Input[Cq])</f>
        <v>29.748730576024109</v>
      </c>
      <c r="I35" s="66" t="e">
        <f t="shared" si="2"/>
        <v>#VALUE!</v>
      </c>
      <c r="J35" s="66">
        <f t="shared" si="3"/>
        <v>1.9101142027560201</v>
      </c>
    </row>
    <row r="36" spans="1:10" x14ac:dyDescent="0.25">
      <c r="A36" s="60" t="str">
        <f>'Data Input'!B184</f>
        <v>D2</v>
      </c>
      <c r="B36" s="60" t="str">
        <f>'Data Input'!D184</f>
        <v>OM3-004_5 min</v>
      </c>
      <c r="C36" s="66" t="str" cm="1">
        <f t="array" ref="C36">_xlfn.XLOOKUP(1,(Tbl_Input[Well Position]='Cq and Delta Cq'!A36)*(Tbl_Input[Reporter]='Cq and Delta Cq'!$C$1),Tbl_Input[Cq])</f>
        <v>Undetermined</v>
      </c>
      <c r="D36" s="66" t="str" cm="1">
        <f t="array" ref="D36">_xlfn.XLOOKUP(1,(Tbl_Input[Well Position]='Cq and Delta Cq'!A36)*(Tbl_Input[Reporter]='Cq and Delta Cq'!$D$1),Tbl_Input[Cq])</f>
        <v>Undetermined</v>
      </c>
      <c r="E36" s="66" cm="1">
        <f t="array" ref="E36">_xlfn.XLOOKUP(1,(Tbl_Input[Well Position]='Cq and Delta Cq'!A36)*(Tbl_Input[Reporter]='Cq and Delta Cq'!$E$1),Tbl_Input[Cq])</f>
        <v>25.99550798838866</v>
      </c>
      <c r="F36" s="66" cm="1">
        <f t="array" ref="F36">_xlfn.XLOOKUP(1,(Tbl_Input[Well Position]='Cq and Delta Cq'!A36)*(Tbl_Input[Reporter]='Cq and Delta Cq'!$F$1),Tbl_Input[Cq])</f>
        <v>28.453333587386119</v>
      </c>
      <c r="G36" s="66" cm="1">
        <f t="array" ref="G36">_xlfn.XLOOKUP(1,(Tbl_Input[Well Position]='Cq and Delta Cq'!A36)*(Tbl_Input[Reporter]='Cq and Delta Cq'!$G$1),Tbl_Input[Cq])</f>
        <v>30.925166087425602</v>
      </c>
      <c r="I36" s="66" t="e">
        <f t="shared" si="2"/>
        <v>#VALUE!</v>
      </c>
      <c r="J36" s="66">
        <f t="shared" si="3"/>
        <v>2.4718325000394827</v>
      </c>
    </row>
    <row r="37" spans="1:10" x14ac:dyDescent="0.25">
      <c r="A37" s="60" t="str">
        <f>'Data Input'!B189</f>
        <v>D3</v>
      </c>
      <c r="B37" s="60" t="str">
        <f>'Data Input'!D189</f>
        <v>OM3-004_30 min</v>
      </c>
      <c r="C37" s="66" t="str" cm="1">
        <f t="array" ref="C37">_xlfn.XLOOKUP(1,(Tbl_Input[Well Position]='Cq and Delta Cq'!A37)*(Tbl_Input[Reporter]='Cq and Delta Cq'!$C$1),Tbl_Input[Cq])</f>
        <v>Undetermined</v>
      </c>
      <c r="D37" s="66" t="str" cm="1">
        <f t="array" ref="D37">_xlfn.XLOOKUP(1,(Tbl_Input[Well Position]='Cq and Delta Cq'!A37)*(Tbl_Input[Reporter]='Cq and Delta Cq'!$D$1),Tbl_Input[Cq])</f>
        <v>Undetermined</v>
      </c>
      <c r="E37" s="66" cm="1">
        <f t="array" ref="E37">_xlfn.XLOOKUP(1,(Tbl_Input[Well Position]='Cq and Delta Cq'!A37)*(Tbl_Input[Reporter]='Cq and Delta Cq'!$E$1),Tbl_Input[Cq])</f>
        <v>25.120519798679403</v>
      </c>
      <c r="F37" s="66" cm="1">
        <f t="array" ref="F37">_xlfn.XLOOKUP(1,(Tbl_Input[Well Position]='Cq and Delta Cq'!A37)*(Tbl_Input[Reporter]='Cq and Delta Cq'!$F$1),Tbl_Input[Cq])</f>
        <v>28.699967100971378</v>
      </c>
      <c r="G37" s="66" cm="1">
        <f t="array" ref="G37">_xlfn.XLOOKUP(1,(Tbl_Input[Well Position]='Cq and Delta Cq'!A37)*(Tbl_Input[Reporter]='Cq and Delta Cq'!$G$1),Tbl_Input[Cq])</f>
        <v>31.096762657366021</v>
      </c>
      <c r="I37" s="66" t="e">
        <f t="shared" si="2"/>
        <v>#VALUE!</v>
      </c>
      <c r="J37" s="66">
        <f t="shared" si="3"/>
        <v>2.3967955563946433</v>
      </c>
    </row>
    <row r="38" spans="1:10" x14ac:dyDescent="0.25">
      <c r="A38" s="60" t="str">
        <f>'Data Input'!B194</f>
        <v>D4</v>
      </c>
      <c r="B38" s="60" t="str">
        <f>'Data Input'!D194</f>
        <v>OM3-004_60 min</v>
      </c>
      <c r="C38" s="66" t="str" cm="1">
        <f t="array" ref="C38">_xlfn.XLOOKUP(1,(Tbl_Input[Well Position]='Cq and Delta Cq'!A38)*(Tbl_Input[Reporter]='Cq and Delta Cq'!$C$1),Tbl_Input[Cq])</f>
        <v>Undetermined</v>
      </c>
      <c r="D38" s="66" t="str" cm="1">
        <f t="array" ref="D38">_xlfn.XLOOKUP(1,(Tbl_Input[Well Position]='Cq and Delta Cq'!A38)*(Tbl_Input[Reporter]='Cq and Delta Cq'!$D$1),Tbl_Input[Cq])</f>
        <v>Undetermined</v>
      </c>
      <c r="E38" s="66" cm="1">
        <f t="array" ref="E38">_xlfn.XLOOKUP(1,(Tbl_Input[Well Position]='Cq and Delta Cq'!A38)*(Tbl_Input[Reporter]='Cq and Delta Cq'!$E$1),Tbl_Input[Cq])</f>
        <v>26.947431969378222</v>
      </c>
      <c r="F38" s="66" cm="1">
        <f t="array" ref="F38">_xlfn.XLOOKUP(1,(Tbl_Input[Well Position]='Cq and Delta Cq'!A38)*(Tbl_Input[Reporter]='Cq and Delta Cq'!$F$1),Tbl_Input[Cq])</f>
        <v>28.991617073860695</v>
      </c>
      <c r="G38" s="66" cm="1">
        <f t="array" ref="G38">_xlfn.XLOOKUP(1,(Tbl_Input[Well Position]='Cq and Delta Cq'!A38)*(Tbl_Input[Reporter]='Cq and Delta Cq'!$G$1),Tbl_Input[Cq])</f>
        <v>31.001293713299695</v>
      </c>
      <c r="I38" s="66" t="e">
        <f t="shared" si="2"/>
        <v>#VALUE!</v>
      </c>
      <c r="J38" s="66">
        <f t="shared" si="3"/>
        <v>2.0096766394390002</v>
      </c>
    </row>
    <row r="39" spans="1:10" x14ac:dyDescent="0.25">
      <c r="A39" s="60" t="str">
        <f>'Data Input'!B199</f>
        <v>D5</v>
      </c>
      <c r="B39" s="60" t="str">
        <f>'Data Input'!D199</f>
        <v>OM3-004_120 min</v>
      </c>
      <c r="C39" s="66" t="str" cm="1">
        <f t="array" ref="C39">_xlfn.XLOOKUP(1,(Tbl_Input[Well Position]='Cq and Delta Cq'!A39)*(Tbl_Input[Reporter]='Cq and Delta Cq'!$C$1),Tbl_Input[Cq])</f>
        <v>Undetermined</v>
      </c>
      <c r="D39" s="66" t="str" cm="1">
        <f t="array" ref="D39">_xlfn.XLOOKUP(1,(Tbl_Input[Well Position]='Cq and Delta Cq'!A39)*(Tbl_Input[Reporter]='Cq and Delta Cq'!$D$1),Tbl_Input[Cq])</f>
        <v>Undetermined</v>
      </c>
      <c r="E39" s="66" cm="1">
        <f t="array" ref="E39">_xlfn.XLOOKUP(1,(Tbl_Input[Well Position]='Cq and Delta Cq'!A39)*(Tbl_Input[Reporter]='Cq and Delta Cq'!$E$1),Tbl_Input[Cq])</f>
        <v>26.183358060005531</v>
      </c>
      <c r="F39" s="66" cm="1">
        <f t="array" ref="F39">_xlfn.XLOOKUP(1,(Tbl_Input[Well Position]='Cq and Delta Cq'!A39)*(Tbl_Input[Reporter]='Cq and Delta Cq'!$F$1),Tbl_Input[Cq])</f>
        <v>27.7409587232113</v>
      </c>
      <c r="G39" s="66" cm="1">
        <f t="array" ref="G39">_xlfn.XLOOKUP(1,(Tbl_Input[Well Position]='Cq and Delta Cq'!A39)*(Tbl_Input[Reporter]='Cq and Delta Cq'!$G$1),Tbl_Input[Cq])</f>
        <v>30.089038134847087</v>
      </c>
      <c r="I39" s="66" t="e">
        <f t="shared" si="2"/>
        <v>#VALUE!</v>
      </c>
      <c r="J39" s="66">
        <f t="shared" si="3"/>
        <v>2.348079411635787</v>
      </c>
    </row>
    <row r="40" spans="1:10" x14ac:dyDescent="0.25">
      <c r="A40" s="60" t="str">
        <f>'Data Input'!B204</f>
        <v>D6</v>
      </c>
      <c r="B40" s="60" t="str">
        <f>'Data Input'!D204</f>
        <v>OM3-012_0 min</v>
      </c>
      <c r="C40" s="66" t="str" cm="1">
        <f t="array" ref="C40">_xlfn.XLOOKUP(1,(Tbl_Input[Well Position]='Cq and Delta Cq'!A40)*(Tbl_Input[Reporter]='Cq and Delta Cq'!$C$1),Tbl_Input[Cq])</f>
        <v>Undetermined</v>
      </c>
      <c r="D40" s="66" t="str" cm="1">
        <f t="array" ref="D40">_xlfn.XLOOKUP(1,(Tbl_Input[Well Position]='Cq and Delta Cq'!A40)*(Tbl_Input[Reporter]='Cq and Delta Cq'!$D$1),Tbl_Input[Cq])</f>
        <v>Undetermined</v>
      </c>
      <c r="E40" s="66" cm="1">
        <f t="array" ref="E40">_xlfn.XLOOKUP(1,(Tbl_Input[Well Position]='Cq and Delta Cq'!A40)*(Tbl_Input[Reporter]='Cq and Delta Cq'!$E$1),Tbl_Input[Cq])</f>
        <v>23.562877825836985</v>
      </c>
      <c r="F40" s="66" cm="1">
        <f t="array" ref="F40">_xlfn.XLOOKUP(1,(Tbl_Input[Well Position]='Cq and Delta Cq'!A40)*(Tbl_Input[Reporter]='Cq and Delta Cq'!$F$1),Tbl_Input[Cq])</f>
        <v>31.628879278855571</v>
      </c>
      <c r="G40" s="66" cm="1">
        <f t="array" ref="G40">_xlfn.XLOOKUP(1,(Tbl_Input[Well Position]='Cq and Delta Cq'!A40)*(Tbl_Input[Reporter]='Cq and Delta Cq'!$G$1),Tbl_Input[Cq])</f>
        <v>34.440484352195163</v>
      </c>
      <c r="I40" s="66" t="e">
        <f t="shared" si="2"/>
        <v>#VALUE!</v>
      </c>
      <c r="J40" s="66">
        <f t="shared" si="3"/>
        <v>2.8116050733395923</v>
      </c>
    </row>
    <row r="41" spans="1:10" x14ac:dyDescent="0.25">
      <c r="A41" s="60" t="str">
        <f>'Data Input'!B209</f>
        <v>D7</v>
      </c>
      <c r="B41" s="60" t="str">
        <f>'Data Input'!D209</f>
        <v>OM3-012_5 min</v>
      </c>
      <c r="C41" s="66" t="str" cm="1">
        <f t="array" ref="C41">_xlfn.XLOOKUP(1,(Tbl_Input[Well Position]='Cq and Delta Cq'!A41)*(Tbl_Input[Reporter]='Cq and Delta Cq'!$C$1),Tbl_Input[Cq])</f>
        <v>Undetermined</v>
      </c>
      <c r="D41" s="66" t="str" cm="1">
        <f t="array" ref="D41">_xlfn.XLOOKUP(1,(Tbl_Input[Well Position]='Cq and Delta Cq'!A41)*(Tbl_Input[Reporter]='Cq and Delta Cq'!$D$1),Tbl_Input[Cq])</f>
        <v>Undetermined</v>
      </c>
      <c r="E41" s="66" cm="1">
        <f t="array" ref="E41">_xlfn.XLOOKUP(1,(Tbl_Input[Well Position]='Cq and Delta Cq'!A41)*(Tbl_Input[Reporter]='Cq and Delta Cq'!$E$1),Tbl_Input[Cq])</f>
        <v>24.298136671639142</v>
      </c>
      <c r="F41" s="66" cm="1">
        <f t="array" ref="F41">_xlfn.XLOOKUP(1,(Tbl_Input[Well Position]='Cq and Delta Cq'!A41)*(Tbl_Input[Reporter]='Cq and Delta Cq'!$F$1),Tbl_Input[Cq])</f>
        <v>30.209642346826691</v>
      </c>
      <c r="G41" s="66" cm="1">
        <f t="array" ref="G41">_xlfn.XLOOKUP(1,(Tbl_Input[Well Position]='Cq and Delta Cq'!A41)*(Tbl_Input[Reporter]='Cq and Delta Cq'!$G$1),Tbl_Input[Cq])</f>
        <v>33.004025785018712</v>
      </c>
      <c r="I41" s="66" t="e">
        <f t="shared" si="2"/>
        <v>#VALUE!</v>
      </c>
      <c r="J41" s="66">
        <f t="shared" si="3"/>
        <v>2.7943834381920212</v>
      </c>
    </row>
    <row r="42" spans="1:10" x14ac:dyDescent="0.25">
      <c r="A42" s="60" t="str">
        <f>'Data Input'!B214</f>
        <v>D8</v>
      </c>
      <c r="B42" s="60" t="str">
        <f>'Data Input'!D214</f>
        <v>OM3-012_30 min</v>
      </c>
      <c r="C42" s="66" t="str" cm="1">
        <f t="array" ref="C42">_xlfn.XLOOKUP(1,(Tbl_Input[Well Position]='Cq and Delta Cq'!A42)*(Tbl_Input[Reporter]='Cq and Delta Cq'!$C$1),Tbl_Input[Cq])</f>
        <v>Undetermined</v>
      </c>
      <c r="D42" s="66" t="str" cm="1">
        <f t="array" ref="D42">_xlfn.XLOOKUP(1,(Tbl_Input[Well Position]='Cq and Delta Cq'!A42)*(Tbl_Input[Reporter]='Cq and Delta Cq'!$D$1),Tbl_Input[Cq])</f>
        <v>Undetermined</v>
      </c>
      <c r="E42" s="66" cm="1">
        <f t="array" ref="E42">_xlfn.XLOOKUP(1,(Tbl_Input[Well Position]='Cq and Delta Cq'!A42)*(Tbl_Input[Reporter]='Cq and Delta Cq'!$E$1),Tbl_Input[Cq])</f>
        <v>24.059727365117986</v>
      </c>
      <c r="F42" s="66" cm="1">
        <f t="array" ref="F42">_xlfn.XLOOKUP(1,(Tbl_Input[Well Position]='Cq and Delta Cq'!A42)*(Tbl_Input[Reporter]='Cq and Delta Cq'!$F$1),Tbl_Input[Cq])</f>
        <v>30.356834210096117</v>
      </c>
      <c r="G42" s="66" cm="1">
        <f t="array" ref="G42">_xlfn.XLOOKUP(1,(Tbl_Input[Well Position]='Cq and Delta Cq'!A42)*(Tbl_Input[Reporter]='Cq and Delta Cq'!$G$1),Tbl_Input[Cq])</f>
        <v>31.931044191570905</v>
      </c>
      <c r="I42" s="66" t="e">
        <f t="shared" si="2"/>
        <v>#VALUE!</v>
      </c>
      <c r="J42" s="66">
        <f t="shared" si="3"/>
        <v>1.5742099814747874</v>
      </c>
    </row>
    <row r="43" spans="1:10" x14ac:dyDescent="0.25">
      <c r="A43" s="60" t="str">
        <f>'Data Input'!B219</f>
        <v>D9</v>
      </c>
      <c r="B43" s="60" t="str">
        <f>'Data Input'!D219</f>
        <v>OM3-012_60 min</v>
      </c>
      <c r="C43" s="66" t="str" cm="1">
        <f t="array" ref="C43">_xlfn.XLOOKUP(1,(Tbl_Input[Well Position]='Cq and Delta Cq'!A43)*(Tbl_Input[Reporter]='Cq and Delta Cq'!$C$1),Tbl_Input[Cq])</f>
        <v>Undetermined</v>
      </c>
      <c r="D43" s="66" t="str" cm="1">
        <f t="array" ref="D43">_xlfn.XLOOKUP(1,(Tbl_Input[Well Position]='Cq and Delta Cq'!A43)*(Tbl_Input[Reporter]='Cq and Delta Cq'!$D$1),Tbl_Input[Cq])</f>
        <v>Undetermined</v>
      </c>
      <c r="E43" s="66" cm="1">
        <f t="array" ref="E43">_xlfn.XLOOKUP(1,(Tbl_Input[Well Position]='Cq and Delta Cq'!A43)*(Tbl_Input[Reporter]='Cq and Delta Cq'!$E$1),Tbl_Input[Cq])</f>
        <v>25.070183766807403</v>
      </c>
      <c r="F43" s="66" cm="1">
        <f t="array" ref="F43">_xlfn.XLOOKUP(1,(Tbl_Input[Well Position]='Cq and Delta Cq'!A43)*(Tbl_Input[Reporter]='Cq and Delta Cq'!$F$1),Tbl_Input[Cq])</f>
        <v>31.101019152849965</v>
      </c>
      <c r="G43" s="66" cm="1">
        <f t="array" ref="G43">_xlfn.XLOOKUP(1,(Tbl_Input[Well Position]='Cq and Delta Cq'!A43)*(Tbl_Input[Reporter]='Cq and Delta Cq'!$G$1),Tbl_Input[Cq])</f>
        <v>32.885192003322686</v>
      </c>
      <c r="I43" s="66" t="e">
        <f t="shared" si="2"/>
        <v>#VALUE!</v>
      </c>
      <c r="J43" s="66">
        <f t="shared" si="3"/>
        <v>1.7841728504727214</v>
      </c>
    </row>
    <row r="44" spans="1:10" x14ac:dyDescent="0.25">
      <c r="A44" s="60" t="str">
        <f>'Data Input'!B224</f>
        <v>D10</v>
      </c>
      <c r="B44" s="60" t="str">
        <f>'Data Input'!D224</f>
        <v>OM3-012_120 min</v>
      </c>
      <c r="C44" s="66" t="str" cm="1">
        <f t="array" ref="C44">_xlfn.XLOOKUP(1,(Tbl_Input[Well Position]='Cq and Delta Cq'!A44)*(Tbl_Input[Reporter]='Cq and Delta Cq'!$C$1),Tbl_Input[Cq])</f>
        <v>Undetermined</v>
      </c>
      <c r="D44" s="66" t="str" cm="1">
        <f t="array" ref="D44">_xlfn.XLOOKUP(1,(Tbl_Input[Well Position]='Cq and Delta Cq'!A44)*(Tbl_Input[Reporter]='Cq and Delta Cq'!$D$1),Tbl_Input[Cq])</f>
        <v>Undetermined</v>
      </c>
      <c r="E44" s="66" cm="1">
        <f t="array" ref="E44">_xlfn.XLOOKUP(1,(Tbl_Input[Well Position]='Cq and Delta Cq'!A44)*(Tbl_Input[Reporter]='Cq and Delta Cq'!$E$1),Tbl_Input[Cq])</f>
        <v>26.180010268371692</v>
      </c>
      <c r="F44" s="66" cm="1">
        <f t="array" ref="F44">_xlfn.XLOOKUP(1,(Tbl_Input[Well Position]='Cq and Delta Cq'!A44)*(Tbl_Input[Reporter]='Cq and Delta Cq'!$F$1),Tbl_Input[Cq])</f>
        <v>29.131059330854725</v>
      </c>
      <c r="G44" s="66" cm="1">
        <f t="array" ref="G44">_xlfn.XLOOKUP(1,(Tbl_Input[Well Position]='Cq and Delta Cq'!A44)*(Tbl_Input[Reporter]='Cq and Delta Cq'!$G$1),Tbl_Input[Cq])</f>
        <v>31.706905317937732</v>
      </c>
      <c r="I44" s="66" t="e">
        <f t="shared" si="2"/>
        <v>#VALUE!</v>
      </c>
      <c r="J44" s="66">
        <f t="shared" si="3"/>
        <v>2.5758459870830066</v>
      </c>
    </row>
    <row r="45" spans="1:10" x14ac:dyDescent="0.25">
      <c r="A45" s="60" t="str">
        <f>'Data Input'!B229</f>
        <v>E1</v>
      </c>
      <c r="B45" s="60" t="str">
        <f>'Data Input'!D229</f>
        <v>OM3-005_0 min</v>
      </c>
      <c r="C45" s="66" t="str" cm="1">
        <f t="array" ref="C45">_xlfn.XLOOKUP(1,(Tbl_Input[Well Position]='Cq and Delta Cq'!A45)*(Tbl_Input[Reporter]='Cq and Delta Cq'!$C$1),Tbl_Input[Cq])</f>
        <v>Undetermined</v>
      </c>
      <c r="D45" s="66" t="str" cm="1">
        <f t="array" ref="D45">_xlfn.XLOOKUP(1,(Tbl_Input[Well Position]='Cq and Delta Cq'!A45)*(Tbl_Input[Reporter]='Cq and Delta Cq'!$D$1),Tbl_Input[Cq])</f>
        <v>Undetermined</v>
      </c>
      <c r="E45" s="66" cm="1">
        <f t="array" ref="E45">_xlfn.XLOOKUP(1,(Tbl_Input[Well Position]='Cq and Delta Cq'!A45)*(Tbl_Input[Reporter]='Cq and Delta Cq'!$E$1),Tbl_Input[Cq])</f>
        <v>25.645437582564529</v>
      </c>
      <c r="F45" s="66" cm="1">
        <f t="array" ref="F45">_xlfn.XLOOKUP(1,(Tbl_Input[Well Position]='Cq and Delta Cq'!A45)*(Tbl_Input[Reporter]='Cq and Delta Cq'!$F$1),Tbl_Input[Cq])</f>
        <v>27.981735705609893</v>
      </c>
      <c r="G45" s="66" cm="1">
        <f t="array" ref="G45">_xlfn.XLOOKUP(1,(Tbl_Input[Well Position]='Cq and Delta Cq'!A45)*(Tbl_Input[Reporter]='Cq and Delta Cq'!$G$1),Tbl_Input[Cq])</f>
        <v>31.256158207401008</v>
      </c>
      <c r="I45" s="66" t="e">
        <f t="shared" si="2"/>
        <v>#VALUE!</v>
      </c>
      <c r="J45" s="66">
        <f t="shared" si="3"/>
        <v>3.2744225017911148</v>
      </c>
    </row>
    <row r="46" spans="1:10" x14ac:dyDescent="0.25">
      <c r="A46" s="60" t="str">
        <f>'Data Input'!B234</f>
        <v>E2</v>
      </c>
      <c r="B46" s="60" t="str">
        <f>'Data Input'!D234</f>
        <v>OM3-005_5 min</v>
      </c>
      <c r="C46" s="66" t="str" cm="1">
        <f t="array" ref="C46">_xlfn.XLOOKUP(1,(Tbl_Input[Well Position]='Cq and Delta Cq'!A46)*(Tbl_Input[Reporter]='Cq and Delta Cq'!$C$1),Tbl_Input[Cq])</f>
        <v>Undetermined</v>
      </c>
      <c r="D46" s="66" t="str" cm="1">
        <f t="array" ref="D46">_xlfn.XLOOKUP(1,(Tbl_Input[Well Position]='Cq and Delta Cq'!A46)*(Tbl_Input[Reporter]='Cq and Delta Cq'!$D$1),Tbl_Input[Cq])</f>
        <v>Undetermined</v>
      </c>
      <c r="E46" s="66" cm="1">
        <f t="array" ref="E46">_xlfn.XLOOKUP(1,(Tbl_Input[Well Position]='Cq and Delta Cq'!A46)*(Tbl_Input[Reporter]='Cq and Delta Cq'!$E$1),Tbl_Input[Cq])</f>
        <v>25.826784841183382</v>
      </c>
      <c r="F46" s="66" cm="1">
        <f t="array" ref="F46">_xlfn.XLOOKUP(1,(Tbl_Input[Well Position]='Cq and Delta Cq'!A46)*(Tbl_Input[Reporter]='Cq and Delta Cq'!$F$1),Tbl_Input[Cq])</f>
        <v>28.9033577671049</v>
      </c>
      <c r="G46" s="66" cm="1">
        <f t="array" ref="G46">_xlfn.XLOOKUP(1,(Tbl_Input[Well Position]='Cq and Delta Cq'!A46)*(Tbl_Input[Reporter]='Cq and Delta Cq'!$G$1),Tbl_Input[Cq])</f>
        <v>31.45822122755493</v>
      </c>
      <c r="I46" s="66" t="e">
        <f t="shared" si="2"/>
        <v>#VALUE!</v>
      </c>
      <c r="J46" s="66">
        <f t="shared" si="3"/>
        <v>2.5548634604500293</v>
      </c>
    </row>
    <row r="47" spans="1:10" x14ac:dyDescent="0.25">
      <c r="A47" s="60" t="str">
        <f>'Data Input'!B239</f>
        <v>E3</v>
      </c>
      <c r="B47" s="60" t="str">
        <f>'Data Input'!D239</f>
        <v>OM3-005_30 min</v>
      </c>
      <c r="C47" s="66" t="str" cm="1">
        <f t="array" ref="C47">_xlfn.XLOOKUP(1,(Tbl_Input[Well Position]='Cq and Delta Cq'!A47)*(Tbl_Input[Reporter]='Cq and Delta Cq'!$C$1),Tbl_Input[Cq])</f>
        <v>Undetermined</v>
      </c>
      <c r="D47" s="66" t="str" cm="1">
        <f t="array" ref="D47">_xlfn.XLOOKUP(1,(Tbl_Input[Well Position]='Cq and Delta Cq'!A47)*(Tbl_Input[Reporter]='Cq and Delta Cq'!$D$1),Tbl_Input[Cq])</f>
        <v>Undetermined</v>
      </c>
      <c r="E47" s="66" cm="1">
        <f t="array" ref="E47">_xlfn.XLOOKUP(1,(Tbl_Input[Well Position]='Cq and Delta Cq'!A47)*(Tbl_Input[Reporter]='Cq and Delta Cq'!$E$1),Tbl_Input[Cq])</f>
        <v>25.366207564083318</v>
      </c>
      <c r="F47" s="66" cm="1">
        <f t="array" ref="F47">_xlfn.XLOOKUP(1,(Tbl_Input[Well Position]='Cq and Delta Cq'!A47)*(Tbl_Input[Reporter]='Cq and Delta Cq'!$F$1),Tbl_Input[Cq])</f>
        <v>28.806145576739674</v>
      </c>
      <c r="G47" s="66" cm="1">
        <f t="array" ref="G47">_xlfn.XLOOKUP(1,(Tbl_Input[Well Position]='Cq and Delta Cq'!A47)*(Tbl_Input[Reporter]='Cq and Delta Cq'!$G$1),Tbl_Input[Cq])</f>
        <v>31.746598620228724</v>
      </c>
      <c r="I47" s="66" t="e">
        <f t="shared" si="2"/>
        <v>#VALUE!</v>
      </c>
      <c r="J47" s="66">
        <f t="shared" si="3"/>
        <v>2.9404530434890503</v>
      </c>
    </row>
    <row r="48" spans="1:10" x14ac:dyDescent="0.25">
      <c r="A48" s="60" t="str">
        <f>'Data Input'!B244</f>
        <v>E4</v>
      </c>
      <c r="B48" s="60" t="str">
        <f>'Data Input'!D244</f>
        <v>OM3-005_60 min</v>
      </c>
      <c r="C48" s="66" t="str" cm="1">
        <f t="array" ref="C48">_xlfn.XLOOKUP(1,(Tbl_Input[Well Position]='Cq and Delta Cq'!A48)*(Tbl_Input[Reporter]='Cq and Delta Cq'!$C$1),Tbl_Input[Cq])</f>
        <v>Undetermined</v>
      </c>
      <c r="D48" s="66" t="str" cm="1">
        <f t="array" ref="D48">_xlfn.XLOOKUP(1,(Tbl_Input[Well Position]='Cq and Delta Cq'!A48)*(Tbl_Input[Reporter]='Cq and Delta Cq'!$D$1),Tbl_Input[Cq])</f>
        <v>Undetermined</v>
      </c>
      <c r="E48" s="66" cm="1">
        <f t="array" ref="E48">_xlfn.XLOOKUP(1,(Tbl_Input[Well Position]='Cq and Delta Cq'!A48)*(Tbl_Input[Reporter]='Cq and Delta Cq'!$E$1),Tbl_Input[Cq])</f>
        <v>26.812115382527082</v>
      </c>
      <c r="F48" s="66" cm="1">
        <f t="array" ref="F48">_xlfn.XLOOKUP(1,(Tbl_Input[Well Position]='Cq and Delta Cq'!A48)*(Tbl_Input[Reporter]='Cq and Delta Cq'!$F$1),Tbl_Input[Cq])</f>
        <v>30.838711801566269</v>
      </c>
      <c r="G48" s="66" cm="1">
        <f t="array" ref="G48">_xlfn.XLOOKUP(1,(Tbl_Input[Well Position]='Cq and Delta Cq'!A48)*(Tbl_Input[Reporter]='Cq and Delta Cq'!$G$1),Tbl_Input[Cq])</f>
        <v>32.904757418180793</v>
      </c>
      <c r="I48" s="66" t="e">
        <f t="shared" si="2"/>
        <v>#VALUE!</v>
      </c>
      <c r="J48" s="66">
        <f t="shared" si="3"/>
        <v>2.0660456166145238</v>
      </c>
    </row>
    <row r="49" spans="1:10" x14ac:dyDescent="0.25">
      <c r="A49" s="60" t="str">
        <f>'Data Input'!B249</f>
        <v>E5</v>
      </c>
      <c r="B49" s="60" t="str">
        <f>'Data Input'!D249</f>
        <v>OM3-005_120 min</v>
      </c>
      <c r="C49" s="66" t="str" cm="1">
        <f t="array" ref="C49">_xlfn.XLOOKUP(1,(Tbl_Input[Well Position]='Cq and Delta Cq'!A49)*(Tbl_Input[Reporter]='Cq and Delta Cq'!$C$1),Tbl_Input[Cq])</f>
        <v>Undetermined</v>
      </c>
      <c r="D49" s="66" t="str" cm="1">
        <f t="array" ref="D49">_xlfn.XLOOKUP(1,(Tbl_Input[Well Position]='Cq and Delta Cq'!A49)*(Tbl_Input[Reporter]='Cq and Delta Cq'!$D$1),Tbl_Input[Cq])</f>
        <v>Undetermined</v>
      </c>
      <c r="E49" s="66" cm="1">
        <f t="array" ref="E49">_xlfn.XLOOKUP(1,(Tbl_Input[Well Position]='Cq and Delta Cq'!A49)*(Tbl_Input[Reporter]='Cq and Delta Cq'!$E$1),Tbl_Input[Cq])</f>
        <v>23.4490323149003</v>
      </c>
      <c r="F49" s="66" cm="1">
        <f t="array" ref="F49">_xlfn.XLOOKUP(1,(Tbl_Input[Well Position]='Cq and Delta Cq'!A49)*(Tbl_Input[Reporter]='Cq and Delta Cq'!$F$1),Tbl_Input[Cq])</f>
        <v>27.08000733047912</v>
      </c>
      <c r="G49" s="66" cm="1">
        <f t="array" ref="G49">_xlfn.XLOOKUP(1,(Tbl_Input[Well Position]='Cq and Delta Cq'!A49)*(Tbl_Input[Reporter]='Cq and Delta Cq'!$G$1),Tbl_Input[Cq])</f>
        <v>29.676808240705746</v>
      </c>
      <c r="I49" s="66" t="e">
        <f t="shared" si="2"/>
        <v>#VALUE!</v>
      </c>
      <c r="J49" s="66">
        <f t="shared" si="3"/>
        <v>2.5968009102266265</v>
      </c>
    </row>
    <row r="50" spans="1:10" x14ac:dyDescent="0.25">
      <c r="A50" s="60" t="str">
        <f>'Data Input'!B254</f>
        <v>E6</v>
      </c>
      <c r="B50" s="60" t="str">
        <f>'Data Input'!D254</f>
        <v>OM3-013_0 min</v>
      </c>
      <c r="C50" s="66" t="str" cm="1">
        <f t="array" ref="C50">_xlfn.XLOOKUP(1,(Tbl_Input[Well Position]='Cq and Delta Cq'!A50)*(Tbl_Input[Reporter]='Cq and Delta Cq'!$C$1),Tbl_Input[Cq])</f>
        <v>Undetermined</v>
      </c>
      <c r="D50" s="66" t="str" cm="1">
        <f t="array" ref="D50">_xlfn.XLOOKUP(1,(Tbl_Input[Well Position]='Cq and Delta Cq'!A50)*(Tbl_Input[Reporter]='Cq and Delta Cq'!$D$1),Tbl_Input[Cq])</f>
        <v>Undetermined</v>
      </c>
      <c r="E50" s="66" cm="1">
        <f t="array" ref="E50">_xlfn.XLOOKUP(1,(Tbl_Input[Well Position]='Cq and Delta Cq'!A50)*(Tbl_Input[Reporter]='Cq and Delta Cq'!$E$1),Tbl_Input[Cq])</f>
        <v>22.743009067524738</v>
      </c>
      <c r="F50" s="66" cm="1">
        <f t="array" ref="F50">_xlfn.XLOOKUP(1,(Tbl_Input[Well Position]='Cq and Delta Cq'!A50)*(Tbl_Input[Reporter]='Cq and Delta Cq'!$F$1),Tbl_Input[Cq])</f>
        <v>22.435158077394171</v>
      </c>
      <c r="G50" s="66" cm="1">
        <f t="array" ref="G50">_xlfn.XLOOKUP(1,(Tbl_Input[Well Position]='Cq and Delta Cq'!A50)*(Tbl_Input[Reporter]='Cq and Delta Cq'!$G$1),Tbl_Input[Cq])</f>
        <v>26.997738157179086</v>
      </c>
      <c r="I50" s="66" t="e">
        <f t="shared" si="2"/>
        <v>#VALUE!</v>
      </c>
      <c r="J50" s="66">
        <f t="shared" si="3"/>
        <v>4.5625800797849152</v>
      </c>
    </row>
    <row r="51" spans="1:10" x14ac:dyDescent="0.25">
      <c r="A51" s="60" t="str">
        <f>'Data Input'!B259</f>
        <v>E7</v>
      </c>
      <c r="B51" s="60" t="str">
        <f>'Data Input'!D259</f>
        <v>OM3-013_5 min</v>
      </c>
      <c r="C51" s="66" t="str" cm="1">
        <f t="array" ref="C51">_xlfn.XLOOKUP(1,(Tbl_Input[Well Position]='Cq and Delta Cq'!A51)*(Tbl_Input[Reporter]='Cq and Delta Cq'!$C$1),Tbl_Input[Cq])</f>
        <v>Undetermined</v>
      </c>
      <c r="D51" s="66" t="str" cm="1">
        <f t="array" ref="D51">_xlfn.XLOOKUP(1,(Tbl_Input[Well Position]='Cq and Delta Cq'!A51)*(Tbl_Input[Reporter]='Cq and Delta Cq'!$D$1),Tbl_Input[Cq])</f>
        <v>Undetermined</v>
      </c>
      <c r="E51" s="66" cm="1">
        <f t="array" ref="E51">_xlfn.XLOOKUP(1,(Tbl_Input[Well Position]='Cq and Delta Cq'!A51)*(Tbl_Input[Reporter]='Cq and Delta Cq'!$E$1),Tbl_Input[Cq])</f>
        <v>22.984876481977309</v>
      </c>
      <c r="F51" s="66" cm="1">
        <f t="array" ref="F51">_xlfn.XLOOKUP(1,(Tbl_Input[Well Position]='Cq and Delta Cq'!A51)*(Tbl_Input[Reporter]='Cq and Delta Cq'!$F$1),Tbl_Input[Cq])</f>
        <v>20.821242174385638</v>
      </c>
      <c r="G51" s="66" cm="1">
        <f t="array" ref="G51">_xlfn.XLOOKUP(1,(Tbl_Input[Well Position]='Cq and Delta Cq'!A51)*(Tbl_Input[Reporter]='Cq and Delta Cq'!$G$1),Tbl_Input[Cq])</f>
        <v>25.19803972836003</v>
      </c>
      <c r="I51" s="66" t="e">
        <f t="shared" si="2"/>
        <v>#VALUE!</v>
      </c>
      <c r="J51" s="66">
        <f t="shared" si="3"/>
        <v>4.3767975539743915</v>
      </c>
    </row>
    <row r="52" spans="1:10" x14ac:dyDescent="0.25">
      <c r="A52" s="60" t="str">
        <f>'Data Input'!B264</f>
        <v>E8</v>
      </c>
      <c r="B52" s="60" t="str">
        <f>'Data Input'!D264</f>
        <v>OM3-013_30 min</v>
      </c>
      <c r="C52" s="66" t="str" cm="1">
        <f t="array" ref="C52">_xlfn.XLOOKUP(1,(Tbl_Input[Well Position]='Cq and Delta Cq'!A52)*(Tbl_Input[Reporter]='Cq and Delta Cq'!$C$1),Tbl_Input[Cq])</f>
        <v>Undetermined</v>
      </c>
      <c r="D52" s="66" t="str" cm="1">
        <f t="array" ref="D52">_xlfn.XLOOKUP(1,(Tbl_Input[Well Position]='Cq and Delta Cq'!A52)*(Tbl_Input[Reporter]='Cq and Delta Cq'!$D$1),Tbl_Input[Cq])</f>
        <v>Undetermined</v>
      </c>
      <c r="E52" s="66" cm="1">
        <f t="array" ref="E52">_xlfn.XLOOKUP(1,(Tbl_Input[Well Position]='Cq and Delta Cq'!A52)*(Tbl_Input[Reporter]='Cq and Delta Cq'!$E$1),Tbl_Input[Cq])</f>
        <v>23.266100560168319</v>
      </c>
      <c r="F52" s="66" cm="1">
        <f t="array" ref="F52">_xlfn.XLOOKUP(1,(Tbl_Input[Well Position]='Cq and Delta Cq'!A52)*(Tbl_Input[Reporter]='Cq and Delta Cq'!$F$1),Tbl_Input[Cq])</f>
        <v>21.642661323937759</v>
      </c>
      <c r="G52" s="66" cm="1">
        <f t="array" ref="G52">_xlfn.XLOOKUP(1,(Tbl_Input[Well Position]='Cq and Delta Cq'!A52)*(Tbl_Input[Reporter]='Cq and Delta Cq'!$G$1),Tbl_Input[Cq])</f>
        <v>26.175367513259502</v>
      </c>
      <c r="I52" s="66" t="e">
        <f t="shared" si="2"/>
        <v>#VALUE!</v>
      </c>
      <c r="J52" s="66">
        <f t="shared" si="3"/>
        <v>4.5327061893217433</v>
      </c>
    </row>
    <row r="53" spans="1:10" x14ac:dyDescent="0.25">
      <c r="A53" s="60" t="str">
        <f>'Data Input'!B269</f>
        <v>E9</v>
      </c>
      <c r="B53" s="60" t="str">
        <f>'Data Input'!D269</f>
        <v>OM3-013_60 min</v>
      </c>
      <c r="C53" s="66" t="str" cm="1">
        <f t="array" ref="C53">_xlfn.XLOOKUP(1,(Tbl_Input[Well Position]='Cq and Delta Cq'!A53)*(Tbl_Input[Reporter]='Cq and Delta Cq'!$C$1),Tbl_Input[Cq])</f>
        <v>Undetermined</v>
      </c>
      <c r="D53" s="66" t="str" cm="1">
        <f t="array" ref="D53">_xlfn.XLOOKUP(1,(Tbl_Input[Well Position]='Cq and Delta Cq'!A53)*(Tbl_Input[Reporter]='Cq and Delta Cq'!$D$1),Tbl_Input[Cq])</f>
        <v>Undetermined</v>
      </c>
      <c r="E53" s="66" cm="1">
        <f t="array" ref="E53">_xlfn.XLOOKUP(1,(Tbl_Input[Well Position]='Cq and Delta Cq'!A53)*(Tbl_Input[Reporter]='Cq and Delta Cq'!$E$1),Tbl_Input[Cq])</f>
        <v>24.099491143781158</v>
      </c>
      <c r="F53" s="66" cm="1">
        <f t="array" ref="F53">_xlfn.XLOOKUP(1,(Tbl_Input[Well Position]='Cq and Delta Cq'!A53)*(Tbl_Input[Reporter]='Cq and Delta Cq'!$F$1),Tbl_Input[Cq])</f>
        <v>23.287059360529327</v>
      </c>
      <c r="G53" s="66" cm="1">
        <f t="array" ref="G53">_xlfn.XLOOKUP(1,(Tbl_Input[Well Position]='Cq and Delta Cq'!A53)*(Tbl_Input[Reporter]='Cq and Delta Cq'!$G$1),Tbl_Input[Cq])</f>
        <v>27.223302155766824</v>
      </c>
      <c r="I53" s="66" t="e">
        <f t="shared" si="2"/>
        <v>#VALUE!</v>
      </c>
      <c r="J53" s="66">
        <f t="shared" si="3"/>
        <v>3.9362427952374972</v>
      </c>
    </row>
    <row r="54" spans="1:10" x14ac:dyDescent="0.25">
      <c r="A54" s="60" t="str">
        <f>'Data Input'!B274</f>
        <v>E10</v>
      </c>
      <c r="B54" s="60" t="str">
        <f>'Data Input'!D274</f>
        <v>OM3-013_120 min</v>
      </c>
      <c r="C54" s="66" t="str" cm="1">
        <f t="array" ref="C54">_xlfn.XLOOKUP(1,(Tbl_Input[Well Position]='Cq and Delta Cq'!A54)*(Tbl_Input[Reporter]='Cq and Delta Cq'!$C$1),Tbl_Input[Cq])</f>
        <v>Undetermined</v>
      </c>
      <c r="D54" s="66" t="str" cm="1">
        <f t="array" ref="D54">_xlfn.XLOOKUP(1,(Tbl_Input[Well Position]='Cq and Delta Cq'!A54)*(Tbl_Input[Reporter]='Cq and Delta Cq'!$D$1),Tbl_Input[Cq])</f>
        <v>Undetermined</v>
      </c>
      <c r="E54" s="66" cm="1">
        <f t="array" ref="E54">_xlfn.XLOOKUP(1,(Tbl_Input[Well Position]='Cq and Delta Cq'!A54)*(Tbl_Input[Reporter]='Cq and Delta Cq'!$E$1),Tbl_Input[Cq])</f>
        <v>23.032976354922184</v>
      </c>
      <c r="F54" s="66" cm="1">
        <f t="array" ref="F54">_xlfn.XLOOKUP(1,(Tbl_Input[Well Position]='Cq and Delta Cq'!A54)*(Tbl_Input[Reporter]='Cq and Delta Cq'!$F$1),Tbl_Input[Cq])</f>
        <v>20.749171182998552</v>
      </c>
      <c r="G54" s="66" cm="1">
        <f t="array" ref="G54">_xlfn.XLOOKUP(1,(Tbl_Input[Well Position]='Cq and Delta Cq'!A54)*(Tbl_Input[Reporter]='Cq and Delta Cq'!$G$1),Tbl_Input[Cq])</f>
        <v>25.429100925205532</v>
      </c>
      <c r="I54" s="66" t="e">
        <f t="shared" si="2"/>
        <v>#VALUE!</v>
      </c>
      <c r="J54" s="66">
        <f t="shared" si="3"/>
        <v>4.6799297422069799</v>
      </c>
    </row>
    <row r="55" spans="1:10" x14ac:dyDescent="0.25">
      <c r="A55" s="60" t="str">
        <f>'Data Input'!B279</f>
        <v>F1</v>
      </c>
      <c r="B55" s="60" t="str">
        <f>'Data Input'!D279</f>
        <v>OM3-006_0 min</v>
      </c>
      <c r="C55" s="66" t="str" cm="1">
        <f t="array" ref="C55">_xlfn.XLOOKUP(1,(Tbl_Input[Well Position]='Cq and Delta Cq'!A55)*(Tbl_Input[Reporter]='Cq and Delta Cq'!$C$1),Tbl_Input[Cq])</f>
        <v>Undetermined</v>
      </c>
      <c r="D55" s="66" t="str" cm="1">
        <f t="array" ref="D55">_xlfn.XLOOKUP(1,(Tbl_Input[Well Position]='Cq and Delta Cq'!A55)*(Tbl_Input[Reporter]='Cq and Delta Cq'!$D$1),Tbl_Input[Cq])</f>
        <v>Undetermined</v>
      </c>
      <c r="E55" s="66" cm="1">
        <f t="array" ref="E55">_xlfn.XLOOKUP(1,(Tbl_Input[Well Position]='Cq and Delta Cq'!A55)*(Tbl_Input[Reporter]='Cq and Delta Cq'!$E$1),Tbl_Input[Cq])</f>
        <v>24.534076542537402</v>
      </c>
      <c r="F55" s="66" cm="1">
        <f t="array" ref="F55">_xlfn.XLOOKUP(1,(Tbl_Input[Well Position]='Cq and Delta Cq'!A55)*(Tbl_Input[Reporter]='Cq and Delta Cq'!$F$1),Tbl_Input[Cq])</f>
        <v>25.104909560017177</v>
      </c>
      <c r="G55" s="66" cm="1">
        <f t="array" ref="G55">_xlfn.XLOOKUP(1,(Tbl_Input[Well Position]='Cq and Delta Cq'!A55)*(Tbl_Input[Reporter]='Cq and Delta Cq'!$G$1),Tbl_Input[Cq])</f>
        <v>27.672430118186071</v>
      </c>
      <c r="I55" s="66" t="e">
        <f t="shared" si="2"/>
        <v>#VALUE!</v>
      </c>
      <c r="J55" s="66">
        <f t="shared" si="3"/>
        <v>2.5675205581688942</v>
      </c>
    </row>
    <row r="56" spans="1:10" x14ac:dyDescent="0.25">
      <c r="A56" s="60" t="str">
        <f>'Data Input'!B284</f>
        <v>F2</v>
      </c>
      <c r="B56" s="60" t="str">
        <f>'Data Input'!D284</f>
        <v>OM3-006_5 min</v>
      </c>
      <c r="C56" s="66" t="str" cm="1">
        <f t="array" ref="C56">_xlfn.XLOOKUP(1,(Tbl_Input[Well Position]='Cq and Delta Cq'!A56)*(Tbl_Input[Reporter]='Cq and Delta Cq'!$C$1),Tbl_Input[Cq])</f>
        <v>Undetermined</v>
      </c>
      <c r="D56" s="66" t="str" cm="1">
        <f t="array" ref="D56">_xlfn.XLOOKUP(1,(Tbl_Input[Well Position]='Cq and Delta Cq'!A56)*(Tbl_Input[Reporter]='Cq and Delta Cq'!$D$1),Tbl_Input[Cq])</f>
        <v>Undetermined</v>
      </c>
      <c r="E56" s="66" cm="1">
        <f t="array" ref="E56">_xlfn.XLOOKUP(1,(Tbl_Input[Well Position]='Cq and Delta Cq'!A56)*(Tbl_Input[Reporter]='Cq and Delta Cq'!$E$1),Tbl_Input[Cq])</f>
        <v>26.419601828353152</v>
      </c>
      <c r="F56" s="66" cm="1">
        <f t="array" ref="F56">_xlfn.XLOOKUP(1,(Tbl_Input[Well Position]='Cq and Delta Cq'!A56)*(Tbl_Input[Reporter]='Cq and Delta Cq'!$F$1),Tbl_Input[Cq])</f>
        <v>26.807122131572569</v>
      </c>
      <c r="G56" s="66" cm="1">
        <f t="array" ref="G56">_xlfn.XLOOKUP(1,(Tbl_Input[Well Position]='Cq and Delta Cq'!A56)*(Tbl_Input[Reporter]='Cq and Delta Cq'!$G$1),Tbl_Input[Cq])</f>
        <v>28.971423994057204</v>
      </c>
      <c r="I56" s="66" t="e">
        <f t="shared" si="2"/>
        <v>#VALUE!</v>
      </c>
      <c r="J56" s="66">
        <f t="shared" si="3"/>
        <v>2.1643018624846349</v>
      </c>
    </row>
    <row r="57" spans="1:10" x14ac:dyDescent="0.25">
      <c r="A57" s="60" t="str">
        <f>'Data Input'!B289</f>
        <v>F3</v>
      </c>
      <c r="B57" s="60" t="str">
        <f>'Data Input'!D289</f>
        <v>OM3-006_30 min</v>
      </c>
      <c r="C57" s="66" t="str" cm="1">
        <f t="array" ref="C57">_xlfn.XLOOKUP(1,(Tbl_Input[Well Position]='Cq and Delta Cq'!A57)*(Tbl_Input[Reporter]='Cq and Delta Cq'!$C$1),Tbl_Input[Cq])</f>
        <v>Undetermined</v>
      </c>
      <c r="D57" s="66" t="str" cm="1">
        <f t="array" ref="D57">_xlfn.XLOOKUP(1,(Tbl_Input[Well Position]='Cq and Delta Cq'!A57)*(Tbl_Input[Reporter]='Cq and Delta Cq'!$D$1),Tbl_Input[Cq])</f>
        <v>Undetermined</v>
      </c>
      <c r="E57" s="66" cm="1">
        <f t="array" ref="E57">_xlfn.XLOOKUP(1,(Tbl_Input[Well Position]='Cq and Delta Cq'!A57)*(Tbl_Input[Reporter]='Cq and Delta Cq'!$E$1),Tbl_Input[Cq])</f>
        <v>24.332655721625294</v>
      </c>
      <c r="F57" s="66" cm="1">
        <f t="array" ref="F57">_xlfn.XLOOKUP(1,(Tbl_Input[Well Position]='Cq and Delta Cq'!A57)*(Tbl_Input[Reporter]='Cq and Delta Cq'!$F$1),Tbl_Input[Cq])</f>
        <v>25.070719336223434</v>
      </c>
      <c r="G57" s="66" cm="1">
        <f t="array" ref="G57">_xlfn.XLOOKUP(1,(Tbl_Input[Well Position]='Cq and Delta Cq'!A57)*(Tbl_Input[Reporter]='Cq and Delta Cq'!$G$1),Tbl_Input[Cq])</f>
        <v>27.337992573178411</v>
      </c>
      <c r="I57" s="66" t="e">
        <f t="shared" si="2"/>
        <v>#VALUE!</v>
      </c>
      <c r="J57" s="66">
        <f t="shared" si="3"/>
        <v>2.2672732369549777</v>
      </c>
    </row>
    <row r="58" spans="1:10" x14ac:dyDescent="0.25">
      <c r="A58" s="60" t="str">
        <f>'Data Input'!B294</f>
        <v>F4</v>
      </c>
      <c r="B58" s="60" t="str">
        <f>'Data Input'!D294</f>
        <v>OM3-006_60 min</v>
      </c>
      <c r="C58" s="66" t="str" cm="1">
        <f t="array" ref="C58">_xlfn.XLOOKUP(1,(Tbl_Input[Well Position]='Cq and Delta Cq'!A58)*(Tbl_Input[Reporter]='Cq and Delta Cq'!$C$1),Tbl_Input[Cq])</f>
        <v>Undetermined</v>
      </c>
      <c r="D58" s="66" t="str" cm="1">
        <f t="array" ref="D58">_xlfn.XLOOKUP(1,(Tbl_Input[Well Position]='Cq and Delta Cq'!A58)*(Tbl_Input[Reporter]='Cq and Delta Cq'!$D$1),Tbl_Input[Cq])</f>
        <v>Undetermined</v>
      </c>
      <c r="E58" s="66" cm="1">
        <f t="array" ref="E58">_xlfn.XLOOKUP(1,(Tbl_Input[Well Position]='Cq and Delta Cq'!A58)*(Tbl_Input[Reporter]='Cq and Delta Cq'!$E$1),Tbl_Input[Cq])</f>
        <v>24.497170987357535</v>
      </c>
      <c r="F58" s="66" cm="1">
        <f t="array" ref="F58">_xlfn.XLOOKUP(1,(Tbl_Input[Well Position]='Cq and Delta Cq'!A58)*(Tbl_Input[Reporter]='Cq and Delta Cq'!$F$1),Tbl_Input[Cq])</f>
        <v>24.333195880283455</v>
      </c>
      <c r="G58" s="66" cm="1">
        <f t="array" ref="G58">_xlfn.XLOOKUP(1,(Tbl_Input[Well Position]='Cq and Delta Cq'!A58)*(Tbl_Input[Reporter]='Cq and Delta Cq'!$G$1),Tbl_Input[Cq])</f>
        <v>27.205411624189253</v>
      </c>
      <c r="I58" s="66" t="e">
        <f t="shared" si="2"/>
        <v>#VALUE!</v>
      </c>
      <c r="J58" s="66">
        <f t="shared" si="3"/>
        <v>2.872215743905798</v>
      </c>
    </row>
    <row r="59" spans="1:10" x14ac:dyDescent="0.25">
      <c r="A59" s="60" t="str">
        <f>'Data Input'!B299</f>
        <v>F5</v>
      </c>
      <c r="B59" s="60" t="str">
        <f>'Data Input'!D299</f>
        <v>OM3-006_120 min</v>
      </c>
      <c r="C59" s="66" t="str" cm="1">
        <f t="array" ref="C59">_xlfn.XLOOKUP(1,(Tbl_Input[Well Position]='Cq and Delta Cq'!A59)*(Tbl_Input[Reporter]='Cq and Delta Cq'!$C$1),Tbl_Input[Cq])</f>
        <v>Undetermined</v>
      </c>
      <c r="D59" s="66" t="str" cm="1">
        <f t="array" ref="D59">_xlfn.XLOOKUP(1,(Tbl_Input[Well Position]='Cq and Delta Cq'!A59)*(Tbl_Input[Reporter]='Cq and Delta Cq'!$D$1),Tbl_Input[Cq])</f>
        <v>Undetermined</v>
      </c>
      <c r="E59" s="66" cm="1">
        <f t="array" ref="E59">_xlfn.XLOOKUP(1,(Tbl_Input[Well Position]='Cq and Delta Cq'!A59)*(Tbl_Input[Reporter]='Cq and Delta Cq'!$E$1),Tbl_Input[Cq])</f>
        <v>24.724586407758785</v>
      </c>
      <c r="F59" s="66" cm="1">
        <f t="array" ref="F59">_xlfn.XLOOKUP(1,(Tbl_Input[Well Position]='Cq and Delta Cq'!A59)*(Tbl_Input[Reporter]='Cq and Delta Cq'!$F$1),Tbl_Input[Cq])</f>
        <v>24.602997670804832</v>
      </c>
      <c r="G59" s="66" cm="1">
        <f t="array" ref="G59">_xlfn.XLOOKUP(1,(Tbl_Input[Well Position]='Cq and Delta Cq'!A59)*(Tbl_Input[Reporter]='Cq and Delta Cq'!$G$1),Tbl_Input[Cq])</f>
        <v>27.453544888259273</v>
      </c>
      <c r="I59" s="66" t="e">
        <f t="shared" si="2"/>
        <v>#VALUE!</v>
      </c>
      <c r="J59" s="66">
        <f t="shared" si="3"/>
        <v>2.8505472174544408</v>
      </c>
    </row>
    <row r="60" spans="1:10" x14ac:dyDescent="0.25">
      <c r="A60" s="60" t="str">
        <f>'Data Input'!B304</f>
        <v>F6</v>
      </c>
      <c r="B60" s="60" t="str">
        <f>'Data Input'!D304</f>
        <v>OM3-014_0 min</v>
      </c>
      <c r="C60" s="66" t="str" cm="1">
        <f t="array" ref="C60">_xlfn.XLOOKUP(1,(Tbl_Input[Well Position]='Cq and Delta Cq'!A60)*(Tbl_Input[Reporter]='Cq and Delta Cq'!$C$1),Tbl_Input[Cq])</f>
        <v>Undetermined</v>
      </c>
      <c r="D60" s="66" t="str" cm="1">
        <f t="array" ref="D60">_xlfn.XLOOKUP(1,(Tbl_Input[Well Position]='Cq and Delta Cq'!A60)*(Tbl_Input[Reporter]='Cq and Delta Cq'!$D$1),Tbl_Input[Cq])</f>
        <v>Undetermined</v>
      </c>
      <c r="E60" s="66" cm="1">
        <f t="array" ref="E60">_xlfn.XLOOKUP(1,(Tbl_Input[Well Position]='Cq and Delta Cq'!A60)*(Tbl_Input[Reporter]='Cq and Delta Cq'!$E$1),Tbl_Input[Cq])</f>
        <v>24.406296042138131</v>
      </c>
      <c r="F60" s="66" t="str" cm="1">
        <f t="array" ref="F60">_xlfn.XLOOKUP(1,(Tbl_Input[Well Position]='Cq and Delta Cq'!A60)*(Tbl_Input[Reporter]='Cq and Delta Cq'!$F$1),Tbl_Input[Cq])</f>
        <v>Undetermined</v>
      </c>
      <c r="G60" s="66" t="str" cm="1">
        <f t="array" ref="G60">_xlfn.XLOOKUP(1,(Tbl_Input[Well Position]='Cq and Delta Cq'!A60)*(Tbl_Input[Reporter]='Cq and Delta Cq'!$G$1),Tbl_Input[Cq])</f>
        <v>Undetermined</v>
      </c>
      <c r="I60" s="66" t="e">
        <f t="shared" si="2"/>
        <v>#VALUE!</v>
      </c>
      <c r="J60" s="66" t="e">
        <f t="shared" si="3"/>
        <v>#VALUE!</v>
      </c>
    </row>
    <row r="61" spans="1:10" x14ac:dyDescent="0.25">
      <c r="A61" s="60" t="str">
        <f>'Data Input'!B309</f>
        <v>F7</v>
      </c>
      <c r="B61" s="60" t="str">
        <f>'Data Input'!D309</f>
        <v>OM3-014_5 min</v>
      </c>
      <c r="C61" s="66" t="str" cm="1">
        <f t="array" ref="C61">_xlfn.XLOOKUP(1,(Tbl_Input[Well Position]='Cq and Delta Cq'!A61)*(Tbl_Input[Reporter]='Cq and Delta Cq'!$C$1),Tbl_Input[Cq])</f>
        <v>Undetermined</v>
      </c>
      <c r="D61" s="66" t="str" cm="1">
        <f t="array" ref="D61">_xlfn.XLOOKUP(1,(Tbl_Input[Well Position]='Cq and Delta Cq'!A61)*(Tbl_Input[Reporter]='Cq and Delta Cq'!$D$1),Tbl_Input[Cq])</f>
        <v>Undetermined</v>
      </c>
      <c r="E61" s="66" cm="1">
        <f t="array" ref="E61">_xlfn.XLOOKUP(1,(Tbl_Input[Well Position]='Cq and Delta Cq'!A61)*(Tbl_Input[Reporter]='Cq and Delta Cq'!$E$1),Tbl_Input[Cq])</f>
        <v>25.940285724908193</v>
      </c>
      <c r="F61" s="66" cm="1">
        <f t="array" ref="F61">_xlfn.XLOOKUP(1,(Tbl_Input[Well Position]='Cq and Delta Cq'!A61)*(Tbl_Input[Reporter]='Cq and Delta Cq'!$F$1),Tbl_Input[Cq])</f>
        <v>34.285001253823111</v>
      </c>
      <c r="G61" s="66" cm="1">
        <f t="array" ref="G61">_xlfn.XLOOKUP(1,(Tbl_Input[Well Position]='Cq and Delta Cq'!A61)*(Tbl_Input[Reporter]='Cq and Delta Cq'!$G$1),Tbl_Input[Cq])</f>
        <v>35.414424334315868</v>
      </c>
      <c r="I61" s="66" t="e">
        <f t="shared" si="2"/>
        <v>#VALUE!</v>
      </c>
      <c r="J61" s="66">
        <f t="shared" si="3"/>
        <v>1.1294230804927565</v>
      </c>
    </row>
    <row r="62" spans="1:10" x14ac:dyDescent="0.25">
      <c r="A62" s="60" t="str">
        <f>'Data Input'!B314</f>
        <v>F8</v>
      </c>
      <c r="B62" s="60" t="str">
        <f>'Data Input'!D314</f>
        <v>OM3-014_30 min</v>
      </c>
      <c r="C62" s="66" t="str" cm="1">
        <f t="array" ref="C62">_xlfn.XLOOKUP(1,(Tbl_Input[Well Position]='Cq and Delta Cq'!A62)*(Tbl_Input[Reporter]='Cq and Delta Cq'!$C$1),Tbl_Input[Cq])</f>
        <v>Undetermined</v>
      </c>
      <c r="D62" s="66" t="str" cm="1">
        <f t="array" ref="D62">_xlfn.XLOOKUP(1,(Tbl_Input[Well Position]='Cq and Delta Cq'!A62)*(Tbl_Input[Reporter]='Cq and Delta Cq'!$D$1),Tbl_Input[Cq])</f>
        <v>Undetermined</v>
      </c>
      <c r="E62" s="66" cm="1">
        <f t="array" ref="E62">_xlfn.XLOOKUP(1,(Tbl_Input[Well Position]='Cq and Delta Cq'!A62)*(Tbl_Input[Reporter]='Cq and Delta Cq'!$E$1),Tbl_Input[Cq])</f>
        <v>27.012880594120261</v>
      </c>
      <c r="F62" s="66" t="str" cm="1">
        <f t="array" ref="F62">_xlfn.XLOOKUP(1,(Tbl_Input[Well Position]='Cq and Delta Cq'!A62)*(Tbl_Input[Reporter]='Cq and Delta Cq'!$F$1),Tbl_Input[Cq])</f>
        <v>Undetermined</v>
      </c>
      <c r="G62" s="66" t="str" cm="1">
        <f t="array" ref="G62">_xlfn.XLOOKUP(1,(Tbl_Input[Well Position]='Cq and Delta Cq'!A62)*(Tbl_Input[Reporter]='Cq and Delta Cq'!$G$1),Tbl_Input[Cq])</f>
        <v>Undetermined</v>
      </c>
      <c r="I62" s="66" t="e">
        <f t="shared" si="2"/>
        <v>#VALUE!</v>
      </c>
      <c r="J62" s="66" t="e">
        <f t="shared" si="3"/>
        <v>#VALUE!</v>
      </c>
    </row>
    <row r="63" spans="1:10" x14ac:dyDescent="0.25">
      <c r="A63" s="60" t="str">
        <f>'Data Input'!B319</f>
        <v>F9</v>
      </c>
      <c r="B63" s="60" t="str">
        <f>'Data Input'!D319</f>
        <v>OM3-014_60 min</v>
      </c>
      <c r="C63" s="66" t="str" cm="1">
        <f t="array" ref="C63">_xlfn.XLOOKUP(1,(Tbl_Input[Well Position]='Cq and Delta Cq'!A63)*(Tbl_Input[Reporter]='Cq and Delta Cq'!$C$1),Tbl_Input[Cq])</f>
        <v>Undetermined</v>
      </c>
      <c r="D63" s="66" t="str" cm="1">
        <f t="array" ref="D63">_xlfn.XLOOKUP(1,(Tbl_Input[Well Position]='Cq and Delta Cq'!A63)*(Tbl_Input[Reporter]='Cq and Delta Cq'!$D$1),Tbl_Input[Cq])</f>
        <v>Undetermined</v>
      </c>
      <c r="E63" s="66" cm="1">
        <f t="array" ref="E63">_xlfn.XLOOKUP(1,(Tbl_Input[Well Position]='Cq and Delta Cq'!A63)*(Tbl_Input[Reporter]='Cq and Delta Cq'!$E$1),Tbl_Input[Cq])</f>
        <v>25.191292570739741</v>
      </c>
      <c r="F63" s="66" cm="1">
        <f t="array" ref="F63">_xlfn.XLOOKUP(1,(Tbl_Input[Well Position]='Cq and Delta Cq'!A63)*(Tbl_Input[Reporter]='Cq and Delta Cq'!$F$1),Tbl_Input[Cq])</f>
        <v>34.892701718426125</v>
      </c>
      <c r="G63" s="66" cm="1">
        <f t="array" ref="G63">_xlfn.XLOOKUP(1,(Tbl_Input[Well Position]='Cq and Delta Cq'!A63)*(Tbl_Input[Reporter]='Cq and Delta Cq'!$G$1),Tbl_Input[Cq])</f>
        <v>38.33488709864821</v>
      </c>
      <c r="I63" s="66" t="e">
        <f t="shared" si="2"/>
        <v>#VALUE!</v>
      </c>
      <c r="J63" s="66">
        <f t="shared" si="3"/>
        <v>3.4421853802220852</v>
      </c>
    </row>
    <row r="64" spans="1:10" x14ac:dyDescent="0.25">
      <c r="A64" s="60" t="str">
        <f>'Data Input'!B324</f>
        <v>F10</v>
      </c>
      <c r="B64" s="60" t="str">
        <f>'Data Input'!D324</f>
        <v>OM3-014_120 min</v>
      </c>
      <c r="C64" s="66" t="str" cm="1">
        <f t="array" ref="C64">_xlfn.XLOOKUP(1,(Tbl_Input[Well Position]='Cq and Delta Cq'!A64)*(Tbl_Input[Reporter]='Cq and Delta Cq'!$C$1),Tbl_Input[Cq])</f>
        <v>Undetermined</v>
      </c>
      <c r="D64" s="66" t="str" cm="1">
        <f t="array" ref="D64">_xlfn.XLOOKUP(1,(Tbl_Input[Well Position]='Cq and Delta Cq'!A64)*(Tbl_Input[Reporter]='Cq and Delta Cq'!$D$1),Tbl_Input[Cq])</f>
        <v>Undetermined</v>
      </c>
      <c r="E64" s="66" cm="1">
        <f t="array" ref="E64">_xlfn.XLOOKUP(1,(Tbl_Input[Well Position]='Cq and Delta Cq'!A64)*(Tbl_Input[Reporter]='Cq and Delta Cq'!$E$1),Tbl_Input[Cq])</f>
        <v>26.585969652892771</v>
      </c>
      <c r="F64" s="66" cm="1">
        <f t="array" ref="F64">_xlfn.XLOOKUP(1,(Tbl_Input[Well Position]='Cq and Delta Cq'!A64)*(Tbl_Input[Reporter]='Cq and Delta Cq'!$F$1),Tbl_Input[Cq])</f>
        <v>40.729107757220184</v>
      </c>
      <c r="G64" s="66" t="str" cm="1">
        <f t="array" ref="G64">_xlfn.XLOOKUP(1,(Tbl_Input[Well Position]='Cq and Delta Cq'!A64)*(Tbl_Input[Reporter]='Cq and Delta Cq'!$G$1),Tbl_Input[Cq])</f>
        <v>Undetermined</v>
      </c>
      <c r="I64" s="66" t="e">
        <f t="shared" si="2"/>
        <v>#VALUE!</v>
      </c>
      <c r="J64" s="66" t="e">
        <f t="shared" si="3"/>
        <v>#VALUE!</v>
      </c>
    </row>
    <row r="65" spans="1:10" x14ac:dyDescent="0.25">
      <c r="A65" s="60" t="str">
        <f>'Data Input'!B329</f>
        <v>G1</v>
      </c>
      <c r="B65" s="60" t="str">
        <f>'Data Input'!D329</f>
        <v>OM3-007_0 min</v>
      </c>
      <c r="C65" s="66" t="str" cm="1">
        <f t="array" ref="C65">_xlfn.XLOOKUP(1,(Tbl_Input[Well Position]='Cq and Delta Cq'!A65)*(Tbl_Input[Reporter]='Cq and Delta Cq'!$C$1),Tbl_Input[Cq])</f>
        <v>Undetermined</v>
      </c>
      <c r="D65" s="66" t="str" cm="1">
        <f t="array" ref="D65">_xlfn.XLOOKUP(1,(Tbl_Input[Well Position]='Cq and Delta Cq'!A65)*(Tbl_Input[Reporter]='Cq and Delta Cq'!$D$1),Tbl_Input[Cq])</f>
        <v>Undetermined</v>
      </c>
      <c r="E65" s="66" cm="1">
        <f t="array" ref="E65">_xlfn.XLOOKUP(1,(Tbl_Input[Well Position]='Cq and Delta Cq'!A65)*(Tbl_Input[Reporter]='Cq and Delta Cq'!$E$1),Tbl_Input[Cq])</f>
        <v>24.552681502728106</v>
      </c>
      <c r="F65" s="66" cm="1">
        <f t="array" ref="F65">_xlfn.XLOOKUP(1,(Tbl_Input[Well Position]='Cq and Delta Cq'!A65)*(Tbl_Input[Reporter]='Cq and Delta Cq'!$F$1),Tbl_Input[Cq])</f>
        <v>29.130098914296809</v>
      </c>
      <c r="G65" s="66" cm="1">
        <f t="array" ref="G65">_xlfn.XLOOKUP(1,(Tbl_Input[Well Position]='Cq and Delta Cq'!A65)*(Tbl_Input[Reporter]='Cq and Delta Cq'!$G$1),Tbl_Input[Cq])</f>
        <v>31.000403812397671</v>
      </c>
      <c r="I65" s="66" t="e">
        <f t="shared" si="2"/>
        <v>#VALUE!</v>
      </c>
      <c r="J65" s="66">
        <f t="shared" si="3"/>
        <v>1.8703048981008621</v>
      </c>
    </row>
    <row r="66" spans="1:10" x14ac:dyDescent="0.25">
      <c r="A66" s="60" t="str">
        <f>'Data Input'!B334</f>
        <v>G2</v>
      </c>
      <c r="B66" s="60" t="str">
        <f>'Data Input'!D334</f>
        <v>OM3-007_5 min</v>
      </c>
      <c r="C66" s="66" t="str" cm="1">
        <f t="array" ref="C66">_xlfn.XLOOKUP(1,(Tbl_Input[Well Position]='Cq and Delta Cq'!A66)*(Tbl_Input[Reporter]='Cq and Delta Cq'!$C$1),Tbl_Input[Cq])</f>
        <v>Undetermined</v>
      </c>
      <c r="D66" s="66" t="str" cm="1">
        <f t="array" ref="D66">_xlfn.XLOOKUP(1,(Tbl_Input[Well Position]='Cq and Delta Cq'!A66)*(Tbl_Input[Reporter]='Cq and Delta Cq'!$D$1),Tbl_Input[Cq])</f>
        <v>Undetermined</v>
      </c>
      <c r="E66" s="66" cm="1">
        <f t="array" ref="E66">_xlfn.XLOOKUP(1,(Tbl_Input[Well Position]='Cq and Delta Cq'!A66)*(Tbl_Input[Reporter]='Cq and Delta Cq'!$E$1),Tbl_Input[Cq])</f>
        <v>25.850523532834302</v>
      </c>
      <c r="F66" s="66" cm="1">
        <f t="array" ref="F66">_xlfn.XLOOKUP(1,(Tbl_Input[Well Position]='Cq and Delta Cq'!A66)*(Tbl_Input[Reporter]='Cq and Delta Cq'!$F$1),Tbl_Input[Cq])</f>
        <v>30.15533986255479</v>
      </c>
      <c r="G66" s="66" cm="1">
        <f t="array" ref="G66">_xlfn.XLOOKUP(1,(Tbl_Input[Well Position]='Cq and Delta Cq'!A66)*(Tbl_Input[Reporter]='Cq and Delta Cq'!$G$1),Tbl_Input[Cq])</f>
        <v>32.162006574935937</v>
      </c>
      <c r="I66" s="66" t="e">
        <f t="shared" ref="I66:I97" si="4">D66-C66</f>
        <v>#VALUE!</v>
      </c>
      <c r="J66" s="66">
        <f t="shared" ref="J66:J97" si="5">G66-F66</f>
        <v>2.006666712381147</v>
      </c>
    </row>
    <row r="67" spans="1:10" x14ac:dyDescent="0.25">
      <c r="A67" s="60" t="str">
        <f>'Data Input'!B339</f>
        <v>G3</v>
      </c>
      <c r="B67" s="60" t="str">
        <f>'Data Input'!D339</f>
        <v>OM3-007_30 min</v>
      </c>
      <c r="C67" s="66" t="str" cm="1">
        <f t="array" ref="C67">_xlfn.XLOOKUP(1,(Tbl_Input[Well Position]='Cq and Delta Cq'!A67)*(Tbl_Input[Reporter]='Cq and Delta Cq'!$C$1),Tbl_Input[Cq])</f>
        <v>Undetermined</v>
      </c>
      <c r="D67" s="66" t="str" cm="1">
        <f t="array" ref="D67">_xlfn.XLOOKUP(1,(Tbl_Input[Well Position]='Cq and Delta Cq'!A67)*(Tbl_Input[Reporter]='Cq and Delta Cq'!$D$1),Tbl_Input[Cq])</f>
        <v>Undetermined</v>
      </c>
      <c r="E67" s="66" cm="1">
        <f t="array" ref="E67">_xlfn.XLOOKUP(1,(Tbl_Input[Well Position]='Cq and Delta Cq'!A67)*(Tbl_Input[Reporter]='Cq and Delta Cq'!$E$1),Tbl_Input[Cq])</f>
        <v>26.057923391057965</v>
      </c>
      <c r="F67" s="66" cm="1">
        <f t="array" ref="F67">_xlfn.XLOOKUP(1,(Tbl_Input[Well Position]='Cq and Delta Cq'!A67)*(Tbl_Input[Reporter]='Cq and Delta Cq'!$F$1),Tbl_Input[Cq])</f>
        <v>30.986399057847947</v>
      </c>
      <c r="G67" s="66" cm="1">
        <f t="array" ref="G67">_xlfn.XLOOKUP(1,(Tbl_Input[Well Position]='Cq and Delta Cq'!A67)*(Tbl_Input[Reporter]='Cq and Delta Cq'!$G$1),Tbl_Input[Cq])</f>
        <v>32.503210874600001</v>
      </c>
      <c r="I67" s="66" t="e">
        <f t="shared" si="4"/>
        <v>#VALUE!</v>
      </c>
      <c r="J67" s="66">
        <f t="shared" si="5"/>
        <v>1.5168118167520532</v>
      </c>
    </row>
    <row r="68" spans="1:10" x14ac:dyDescent="0.25">
      <c r="A68" s="60" t="str">
        <f>'Data Input'!B344</f>
        <v>G4</v>
      </c>
      <c r="B68" s="60" t="str">
        <f>'Data Input'!D344</f>
        <v>OM3-007_60 min</v>
      </c>
      <c r="C68" s="66" t="str" cm="1">
        <f t="array" ref="C68">_xlfn.XLOOKUP(1,(Tbl_Input[Well Position]='Cq and Delta Cq'!A68)*(Tbl_Input[Reporter]='Cq and Delta Cq'!$C$1),Tbl_Input[Cq])</f>
        <v>Undetermined</v>
      </c>
      <c r="D68" s="66" t="str" cm="1">
        <f t="array" ref="D68">_xlfn.XLOOKUP(1,(Tbl_Input[Well Position]='Cq and Delta Cq'!A68)*(Tbl_Input[Reporter]='Cq and Delta Cq'!$D$1),Tbl_Input[Cq])</f>
        <v>Undetermined</v>
      </c>
      <c r="E68" s="66" cm="1">
        <f t="array" ref="E68">_xlfn.XLOOKUP(1,(Tbl_Input[Well Position]='Cq and Delta Cq'!A68)*(Tbl_Input[Reporter]='Cq and Delta Cq'!$E$1),Tbl_Input[Cq])</f>
        <v>24.689131179326331</v>
      </c>
      <c r="F68" s="66" cm="1">
        <f t="array" ref="F68">_xlfn.XLOOKUP(1,(Tbl_Input[Well Position]='Cq and Delta Cq'!A68)*(Tbl_Input[Reporter]='Cq and Delta Cq'!$F$1),Tbl_Input[Cq])</f>
        <v>28.697201817268422</v>
      </c>
      <c r="G68" s="66" cm="1">
        <f t="array" ref="G68">_xlfn.XLOOKUP(1,(Tbl_Input[Well Position]='Cq and Delta Cq'!A68)*(Tbl_Input[Reporter]='Cq and Delta Cq'!$G$1),Tbl_Input[Cq])</f>
        <v>30.717469730368599</v>
      </c>
      <c r="I68" s="66" t="e">
        <f t="shared" si="4"/>
        <v>#VALUE!</v>
      </c>
      <c r="J68" s="66">
        <f t="shared" si="5"/>
        <v>2.0202679131001773</v>
      </c>
    </row>
    <row r="69" spans="1:10" x14ac:dyDescent="0.25">
      <c r="A69" s="60" t="str">
        <f>'Data Input'!B349</f>
        <v>G5</v>
      </c>
      <c r="B69" s="60" t="str">
        <f>'Data Input'!D349</f>
        <v>OM3-007_120 min</v>
      </c>
      <c r="C69" s="66" t="str" cm="1">
        <f t="array" ref="C69">_xlfn.XLOOKUP(1,(Tbl_Input[Well Position]='Cq and Delta Cq'!A69)*(Tbl_Input[Reporter]='Cq and Delta Cq'!$C$1),Tbl_Input[Cq])</f>
        <v>Undetermined</v>
      </c>
      <c r="D69" s="66" t="str" cm="1">
        <f t="array" ref="D69">_xlfn.XLOOKUP(1,(Tbl_Input[Well Position]='Cq and Delta Cq'!A69)*(Tbl_Input[Reporter]='Cq and Delta Cq'!$D$1),Tbl_Input[Cq])</f>
        <v>Undetermined</v>
      </c>
      <c r="E69" s="66" cm="1">
        <f t="array" ref="E69">_xlfn.XLOOKUP(1,(Tbl_Input[Well Position]='Cq and Delta Cq'!A69)*(Tbl_Input[Reporter]='Cq and Delta Cq'!$E$1),Tbl_Input[Cq])</f>
        <v>23.688704744766383</v>
      </c>
      <c r="F69" s="66" cm="1">
        <f t="array" ref="F69">_xlfn.XLOOKUP(1,(Tbl_Input[Well Position]='Cq and Delta Cq'!A69)*(Tbl_Input[Reporter]='Cq and Delta Cq'!$F$1),Tbl_Input[Cq])</f>
        <v>28.777062908184284</v>
      </c>
      <c r="G69" s="66" cm="1">
        <f t="array" ref="G69">_xlfn.XLOOKUP(1,(Tbl_Input[Well Position]='Cq and Delta Cq'!A69)*(Tbl_Input[Reporter]='Cq and Delta Cq'!$G$1),Tbl_Input[Cq])</f>
        <v>30.460896536127457</v>
      </c>
      <c r="I69" s="66" t="e">
        <f t="shared" si="4"/>
        <v>#VALUE!</v>
      </c>
      <c r="J69" s="66">
        <f t="shared" si="5"/>
        <v>1.6838336279431729</v>
      </c>
    </row>
    <row r="70" spans="1:10" x14ac:dyDescent="0.25">
      <c r="A70" s="60" t="str">
        <f>'Data Input'!B354</f>
        <v>G6</v>
      </c>
      <c r="B70" s="60" t="str">
        <f>'Data Input'!D354</f>
        <v>OM3-015_0 min</v>
      </c>
      <c r="C70" s="66" t="str" cm="1">
        <f t="array" ref="C70">_xlfn.XLOOKUP(1,(Tbl_Input[Well Position]='Cq and Delta Cq'!A70)*(Tbl_Input[Reporter]='Cq and Delta Cq'!$C$1),Tbl_Input[Cq])</f>
        <v>Undetermined</v>
      </c>
      <c r="D70" s="66" t="str" cm="1">
        <f t="array" ref="D70">_xlfn.XLOOKUP(1,(Tbl_Input[Well Position]='Cq and Delta Cq'!A70)*(Tbl_Input[Reporter]='Cq and Delta Cq'!$D$1),Tbl_Input[Cq])</f>
        <v>Undetermined</v>
      </c>
      <c r="E70" s="66" cm="1">
        <f t="array" ref="E70">_xlfn.XLOOKUP(1,(Tbl_Input[Well Position]='Cq and Delta Cq'!A70)*(Tbl_Input[Reporter]='Cq and Delta Cq'!$E$1),Tbl_Input[Cq])</f>
        <v>22.590111470160927</v>
      </c>
      <c r="F70" s="66" cm="1">
        <f t="array" ref="F70">_xlfn.XLOOKUP(1,(Tbl_Input[Well Position]='Cq and Delta Cq'!A70)*(Tbl_Input[Reporter]='Cq and Delta Cq'!$F$1),Tbl_Input[Cq])</f>
        <v>26.19213475280521</v>
      </c>
      <c r="G70" s="66" cm="1">
        <f t="array" ref="G70">_xlfn.XLOOKUP(1,(Tbl_Input[Well Position]='Cq and Delta Cq'!A70)*(Tbl_Input[Reporter]='Cq and Delta Cq'!$G$1),Tbl_Input[Cq])</f>
        <v>27.649556638840977</v>
      </c>
      <c r="I70" s="66" t="e">
        <f t="shared" si="4"/>
        <v>#VALUE!</v>
      </c>
      <c r="J70" s="66">
        <f t="shared" si="5"/>
        <v>1.4574218860357675</v>
      </c>
    </row>
    <row r="71" spans="1:10" x14ac:dyDescent="0.25">
      <c r="A71" s="60" t="str">
        <f>'Data Input'!B359</f>
        <v>G7</v>
      </c>
      <c r="B71" s="60" t="str">
        <f>'Data Input'!D359</f>
        <v>OM3-015_5 min</v>
      </c>
      <c r="C71" s="66" t="str" cm="1">
        <f t="array" ref="C71">_xlfn.XLOOKUP(1,(Tbl_Input[Well Position]='Cq and Delta Cq'!A71)*(Tbl_Input[Reporter]='Cq and Delta Cq'!$C$1),Tbl_Input[Cq])</f>
        <v>Undetermined</v>
      </c>
      <c r="D71" s="66" t="str" cm="1">
        <f t="array" ref="D71">_xlfn.XLOOKUP(1,(Tbl_Input[Well Position]='Cq and Delta Cq'!A71)*(Tbl_Input[Reporter]='Cq and Delta Cq'!$D$1),Tbl_Input[Cq])</f>
        <v>Undetermined</v>
      </c>
      <c r="E71" s="66" cm="1">
        <f t="array" ref="E71">_xlfn.XLOOKUP(1,(Tbl_Input[Well Position]='Cq and Delta Cq'!A71)*(Tbl_Input[Reporter]='Cq and Delta Cq'!$E$1),Tbl_Input[Cq])</f>
        <v>23.868981289997819</v>
      </c>
      <c r="F71" s="66" cm="1">
        <f t="array" ref="F71">_xlfn.XLOOKUP(1,(Tbl_Input[Well Position]='Cq and Delta Cq'!A71)*(Tbl_Input[Reporter]='Cq and Delta Cq'!$F$1),Tbl_Input[Cq])</f>
        <v>28.189198801714497</v>
      </c>
      <c r="G71" s="66" cm="1">
        <f t="array" ref="G71">_xlfn.XLOOKUP(1,(Tbl_Input[Well Position]='Cq and Delta Cq'!A71)*(Tbl_Input[Reporter]='Cq and Delta Cq'!$G$1),Tbl_Input[Cq])</f>
        <v>29.017570763090397</v>
      </c>
      <c r="I71" s="66" t="e">
        <f t="shared" si="4"/>
        <v>#VALUE!</v>
      </c>
      <c r="J71" s="66">
        <f t="shared" si="5"/>
        <v>0.82837196137590041</v>
      </c>
    </row>
    <row r="72" spans="1:10" x14ac:dyDescent="0.25">
      <c r="A72" s="60" t="str">
        <f>'Data Input'!B364</f>
        <v>G8</v>
      </c>
      <c r="B72" s="60" t="str">
        <f>'Data Input'!D364</f>
        <v>OM3-015_30 min</v>
      </c>
      <c r="C72" s="66" t="str" cm="1">
        <f t="array" ref="C72">_xlfn.XLOOKUP(1,(Tbl_Input[Well Position]='Cq and Delta Cq'!A72)*(Tbl_Input[Reporter]='Cq and Delta Cq'!$C$1),Tbl_Input[Cq])</f>
        <v>Undetermined</v>
      </c>
      <c r="D72" s="66" t="str" cm="1">
        <f t="array" ref="D72">_xlfn.XLOOKUP(1,(Tbl_Input[Well Position]='Cq and Delta Cq'!A72)*(Tbl_Input[Reporter]='Cq and Delta Cq'!$D$1),Tbl_Input[Cq])</f>
        <v>Undetermined</v>
      </c>
      <c r="E72" s="66" cm="1">
        <f t="array" ref="E72">_xlfn.XLOOKUP(1,(Tbl_Input[Well Position]='Cq and Delta Cq'!A72)*(Tbl_Input[Reporter]='Cq and Delta Cq'!$E$1),Tbl_Input[Cq])</f>
        <v>24.254688367174317</v>
      </c>
      <c r="F72" s="66" cm="1">
        <f t="array" ref="F72">_xlfn.XLOOKUP(1,(Tbl_Input[Well Position]='Cq and Delta Cq'!A72)*(Tbl_Input[Reporter]='Cq and Delta Cq'!$F$1),Tbl_Input[Cq])</f>
        <v>25.991437871454799</v>
      </c>
      <c r="G72" s="66" cm="1">
        <f t="array" ref="G72">_xlfn.XLOOKUP(1,(Tbl_Input[Well Position]='Cq and Delta Cq'!A72)*(Tbl_Input[Reporter]='Cq and Delta Cq'!$G$1),Tbl_Input[Cq])</f>
        <v>28.443013582175197</v>
      </c>
      <c r="I72" s="66" t="e">
        <f t="shared" si="4"/>
        <v>#VALUE!</v>
      </c>
      <c r="J72" s="66">
        <f t="shared" si="5"/>
        <v>2.4515757107203981</v>
      </c>
    </row>
    <row r="73" spans="1:10" x14ac:dyDescent="0.25">
      <c r="A73" s="60" t="str">
        <f>'Data Input'!B369</f>
        <v>G9</v>
      </c>
      <c r="B73" s="60" t="str">
        <f>'Data Input'!D369</f>
        <v>OM3-015_60 min</v>
      </c>
      <c r="C73" s="66" t="str" cm="1">
        <f t="array" ref="C73">_xlfn.XLOOKUP(1,(Tbl_Input[Well Position]='Cq and Delta Cq'!A73)*(Tbl_Input[Reporter]='Cq and Delta Cq'!$C$1),Tbl_Input[Cq])</f>
        <v>Undetermined</v>
      </c>
      <c r="D73" s="66" t="str" cm="1">
        <f t="array" ref="D73">_xlfn.XLOOKUP(1,(Tbl_Input[Well Position]='Cq and Delta Cq'!A73)*(Tbl_Input[Reporter]='Cq and Delta Cq'!$D$1),Tbl_Input[Cq])</f>
        <v>Undetermined</v>
      </c>
      <c r="E73" s="66" cm="1">
        <f t="array" ref="E73">_xlfn.XLOOKUP(1,(Tbl_Input[Well Position]='Cq and Delta Cq'!A73)*(Tbl_Input[Reporter]='Cq and Delta Cq'!$E$1),Tbl_Input[Cq])</f>
        <v>23.97984570145011</v>
      </c>
      <c r="F73" s="66" cm="1">
        <f t="array" ref="F73">_xlfn.XLOOKUP(1,(Tbl_Input[Well Position]='Cq and Delta Cq'!A73)*(Tbl_Input[Reporter]='Cq and Delta Cq'!$F$1),Tbl_Input[Cq])</f>
        <v>25.966669641271899</v>
      </c>
      <c r="G73" s="66" cm="1">
        <f t="array" ref="G73">_xlfn.XLOOKUP(1,(Tbl_Input[Well Position]='Cq and Delta Cq'!A73)*(Tbl_Input[Reporter]='Cq and Delta Cq'!$G$1),Tbl_Input[Cq])</f>
        <v>27.638955207761562</v>
      </c>
      <c r="I73" s="66" t="e">
        <f t="shared" si="4"/>
        <v>#VALUE!</v>
      </c>
      <c r="J73" s="66">
        <f t="shared" si="5"/>
        <v>1.6722855664896628</v>
      </c>
    </row>
    <row r="74" spans="1:10" x14ac:dyDescent="0.25">
      <c r="A74" s="60" t="str">
        <f>'Data Input'!B374</f>
        <v>G10</v>
      </c>
      <c r="B74" s="60" t="str">
        <f>'Data Input'!D374</f>
        <v>OM3-015_120 min</v>
      </c>
      <c r="C74" s="66" t="str" cm="1">
        <f t="array" ref="C74">_xlfn.XLOOKUP(1,(Tbl_Input[Well Position]='Cq and Delta Cq'!A74)*(Tbl_Input[Reporter]='Cq and Delta Cq'!$C$1),Tbl_Input[Cq])</f>
        <v>Undetermined</v>
      </c>
      <c r="D74" s="66" t="str" cm="1">
        <f t="array" ref="D74">_xlfn.XLOOKUP(1,(Tbl_Input[Well Position]='Cq and Delta Cq'!A74)*(Tbl_Input[Reporter]='Cq and Delta Cq'!$D$1),Tbl_Input[Cq])</f>
        <v>Undetermined</v>
      </c>
      <c r="E74" s="66" cm="1">
        <f t="array" ref="E74">_xlfn.XLOOKUP(1,(Tbl_Input[Well Position]='Cq and Delta Cq'!A74)*(Tbl_Input[Reporter]='Cq and Delta Cq'!$E$1),Tbl_Input[Cq])</f>
        <v>25.749424591796441</v>
      </c>
      <c r="F74" s="66" cm="1">
        <f t="array" ref="F74">_xlfn.XLOOKUP(1,(Tbl_Input[Well Position]='Cq and Delta Cq'!A74)*(Tbl_Input[Reporter]='Cq and Delta Cq'!$F$1),Tbl_Input[Cq])</f>
        <v>27.760354379386726</v>
      </c>
      <c r="G74" s="66" cm="1">
        <f t="array" ref="G74">_xlfn.XLOOKUP(1,(Tbl_Input[Well Position]='Cq and Delta Cq'!A74)*(Tbl_Input[Reporter]='Cq and Delta Cq'!$G$1),Tbl_Input[Cq])</f>
        <v>29.427577805254053</v>
      </c>
      <c r="I74" s="66" t="e">
        <f t="shared" si="4"/>
        <v>#VALUE!</v>
      </c>
      <c r="J74" s="66">
        <f t="shared" si="5"/>
        <v>1.6672234258673271</v>
      </c>
    </row>
    <row r="75" spans="1:10" x14ac:dyDescent="0.25">
      <c r="A75" s="60" t="str">
        <f>'Data Input'!B379</f>
        <v>H1</v>
      </c>
      <c r="B75" s="60" t="str">
        <f>'Data Input'!D379</f>
        <v>OM3-008_0 min</v>
      </c>
      <c r="C75" s="66" t="str" cm="1">
        <f t="array" ref="C75">_xlfn.XLOOKUP(1,(Tbl_Input[Well Position]='Cq and Delta Cq'!A75)*(Tbl_Input[Reporter]='Cq and Delta Cq'!$C$1),Tbl_Input[Cq])</f>
        <v>Undetermined</v>
      </c>
      <c r="D75" s="66" t="str" cm="1">
        <f t="array" ref="D75">_xlfn.XLOOKUP(1,(Tbl_Input[Well Position]='Cq and Delta Cq'!A75)*(Tbl_Input[Reporter]='Cq and Delta Cq'!$D$1),Tbl_Input[Cq])</f>
        <v>Undetermined</v>
      </c>
      <c r="E75" s="66" cm="1">
        <f t="array" ref="E75">_xlfn.XLOOKUP(1,(Tbl_Input[Well Position]='Cq and Delta Cq'!A75)*(Tbl_Input[Reporter]='Cq and Delta Cq'!$E$1),Tbl_Input[Cq])</f>
        <v>24.054937984245541</v>
      </c>
      <c r="F75" s="66" cm="1">
        <f t="array" ref="F75">_xlfn.XLOOKUP(1,(Tbl_Input[Well Position]='Cq and Delta Cq'!A75)*(Tbl_Input[Reporter]='Cq and Delta Cq'!$F$1),Tbl_Input[Cq])</f>
        <v>30.450712503751255</v>
      </c>
      <c r="G75" s="66" cm="1">
        <f t="array" ref="G75">_xlfn.XLOOKUP(1,(Tbl_Input[Well Position]='Cq and Delta Cq'!A75)*(Tbl_Input[Reporter]='Cq and Delta Cq'!$G$1),Tbl_Input[Cq])</f>
        <v>32.316559460749644</v>
      </c>
      <c r="I75" s="66" t="e">
        <f t="shared" si="4"/>
        <v>#VALUE!</v>
      </c>
      <c r="J75" s="66">
        <f t="shared" si="5"/>
        <v>1.8658469569983893</v>
      </c>
    </row>
    <row r="76" spans="1:10" x14ac:dyDescent="0.25">
      <c r="A76" s="60" t="str">
        <f>'Data Input'!B384</f>
        <v>H2</v>
      </c>
      <c r="B76" s="60" t="str">
        <f>'Data Input'!D384</f>
        <v>OM3-008_5 min</v>
      </c>
      <c r="C76" s="66" t="str" cm="1">
        <f t="array" ref="C76">_xlfn.XLOOKUP(1,(Tbl_Input[Well Position]='Cq and Delta Cq'!A76)*(Tbl_Input[Reporter]='Cq and Delta Cq'!$C$1),Tbl_Input[Cq])</f>
        <v>Undetermined</v>
      </c>
      <c r="D76" s="66" t="str" cm="1">
        <f t="array" ref="D76">_xlfn.XLOOKUP(1,(Tbl_Input[Well Position]='Cq and Delta Cq'!A76)*(Tbl_Input[Reporter]='Cq and Delta Cq'!$D$1),Tbl_Input[Cq])</f>
        <v>Undetermined</v>
      </c>
      <c r="E76" s="66" cm="1">
        <f t="array" ref="E76">_xlfn.XLOOKUP(1,(Tbl_Input[Well Position]='Cq and Delta Cq'!A76)*(Tbl_Input[Reporter]='Cq and Delta Cq'!$E$1),Tbl_Input[Cq])</f>
        <v>25.268593419824729</v>
      </c>
      <c r="F76" s="66" cm="1">
        <f t="array" ref="F76">_xlfn.XLOOKUP(1,(Tbl_Input[Well Position]='Cq and Delta Cq'!A76)*(Tbl_Input[Reporter]='Cq and Delta Cq'!$F$1),Tbl_Input[Cq])</f>
        <v>30.660467908696752</v>
      </c>
      <c r="G76" s="66" cm="1">
        <f t="array" ref="G76">_xlfn.XLOOKUP(1,(Tbl_Input[Well Position]='Cq and Delta Cq'!A76)*(Tbl_Input[Reporter]='Cq and Delta Cq'!$G$1),Tbl_Input[Cq])</f>
        <v>33.245377143965854</v>
      </c>
      <c r="I76" s="66" t="e">
        <f t="shared" si="4"/>
        <v>#VALUE!</v>
      </c>
      <c r="J76" s="66">
        <f t="shared" si="5"/>
        <v>2.5849092352691017</v>
      </c>
    </row>
    <row r="77" spans="1:10" x14ac:dyDescent="0.25">
      <c r="A77" s="60" t="str">
        <f>'Data Input'!B389</f>
        <v>H3</v>
      </c>
      <c r="B77" s="60" t="str">
        <f>'Data Input'!D389</f>
        <v>OM3-008_30 min</v>
      </c>
      <c r="C77" s="66" t="str" cm="1">
        <f t="array" ref="C77">_xlfn.XLOOKUP(1,(Tbl_Input[Well Position]='Cq and Delta Cq'!A77)*(Tbl_Input[Reporter]='Cq and Delta Cq'!$C$1),Tbl_Input[Cq])</f>
        <v>Undetermined</v>
      </c>
      <c r="D77" s="66" t="str" cm="1">
        <f t="array" ref="D77">_xlfn.XLOOKUP(1,(Tbl_Input[Well Position]='Cq and Delta Cq'!A77)*(Tbl_Input[Reporter]='Cq and Delta Cq'!$D$1),Tbl_Input[Cq])</f>
        <v>Undetermined</v>
      </c>
      <c r="E77" s="66" cm="1">
        <f t="array" ref="E77">_xlfn.XLOOKUP(1,(Tbl_Input[Well Position]='Cq and Delta Cq'!A77)*(Tbl_Input[Reporter]='Cq and Delta Cq'!$E$1),Tbl_Input[Cq])</f>
        <v>24.601114565395612</v>
      </c>
      <c r="F77" s="66" cm="1">
        <f t="array" ref="F77">_xlfn.XLOOKUP(1,(Tbl_Input[Well Position]='Cq and Delta Cq'!A77)*(Tbl_Input[Reporter]='Cq and Delta Cq'!$F$1),Tbl_Input[Cq])</f>
        <v>31.093041223926512</v>
      </c>
      <c r="G77" s="66" cm="1">
        <f t="array" ref="G77">_xlfn.XLOOKUP(1,(Tbl_Input[Well Position]='Cq and Delta Cq'!A77)*(Tbl_Input[Reporter]='Cq and Delta Cq'!$G$1),Tbl_Input[Cq])</f>
        <v>33.534149146432924</v>
      </c>
      <c r="I77" s="66" t="e">
        <f t="shared" si="4"/>
        <v>#VALUE!</v>
      </c>
      <c r="J77" s="66">
        <f t="shared" si="5"/>
        <v>2.4411079225064114</v>
      </c>
    </row>
    <row r="78" spans="1:10" x14ac:dyDescent="0.25">
      <c r="A78" s="60" t="str">
        <f>'Data Input'!B394</f>
        <v>H4</v>
      </c>
      <c r="B78" s="60" t="str">
        <f>'Data Input'!D394</f>
        <v>OM3-008_60 min</v>
      </c>
      <c r="C78" s="66" t="str" cm="1">
        <f t="array" ref="C78">_xlfn.XLOOKUP(1,(Tbl_Input[Well Position]='Cq and Delta Cq'!A78)*(Tbl_Input[Reporter]='Cq and Delta Cq'!$C$1),Tbl_Input[Cq])</f>
        <v>Undetermined</v>
      </c>
      <c r="D78" s="66" t="str" cm="1">
        <f t="array" ref="D78">_xlfn.XLOOKUP(1,(Tbl_Input[Well Position]='Cq and Delta Cq'!A78)*(Tbl_Input[Reporter]='Cq and Delta Cq'!$D$1),Tbl_Input[Cq])</f>
        <v>Undetermined</v>
      </c>
      <c r="E78" s="66" cm="1">
        <f t="array" ref="E78">_xlfn.XLOOKUP(1,(Tbl_Input[Well Position]='Cq and Delta Cq'!A78)*(Tbl_Input[Reporter]='Cq and Delta Cq'!$E$1),Tbl_Input[Cq])</f>
        <v>24.034928270955632</v>
      </c>
      <c r="F78" s="66" cm="1">
        <f t="array" ref="F78">_xlfn.XLOOKUP(1,(Tbl_Input[Well Position]='Cq and Delta Cq'!A78)*(Tbl_Input[Reporter]='Cq and Delta Cq'!$F$1),Tbl_Input[Cq])</f>
        <v>29.433063817783719</v>
      </c>
      <c r="G78" s="66" cm="1">
        <f t="array" ref="G78">_xlfn.XLOOKUP(1,(Tbl_Input[Well Position]='Cq and Delta Cq'!A78)*(Tbl_Input[Reporter]='Cq and Delta Cq'!$G$1),Tbl_Input[Cq])</f>
        <v>31.88836483553208</v>
      </c>
      <c r="I78" s="66" t="e">
        <f t="shared" si="4"/>
        <v>#VALUE!</v>
      </c>
      <c r="J78" s="66">
        <f t="shared" si="5"/>
        <v>2.4553010177483614</v>
      </c>
    </row>
    <row r="79" spans="1:10" x14ac:dyDescent="0.25">
      <c r="A79" s="60" t="str">
        <f>'Data Input'!B399</f>
        <v>H5</v>
      </c>
      <c r="B79" s="60" t="str">
        <f>'Data Input'!D399</f>
        <v>OM3-008_120 min</v>
      </c>
      <c r="C79" s="66" t="str" cm="1">
        <f t="array" ref="C79">_xlfn.XLOOKUP(1,(Tbl_Input[Well Position]='Cq and Delta Cq'!A79)*(Tbl_Input[Reporter]='Cq and Delta Cq'!$C$1),Tbl_Input[Cq])</f>
        <v>Undetermined</v>
      </c>
      <c r="D79" s="66" t="str" cm="1">
        <f t="array" ref="D79">_xlfn.XLOOKUP(1,(Tbl_Input[Well Position]='Cq and Delta Cq'!A79)*(Tbl_Input[Reporter]='Cq and Delta Cq'!$D$1),Tbl_Input[Cq])</f>
        <v>Undetermined</v>
      </c>
      <c r="E79" s="66" cm="1">
        <f t="array" ref="E79">_xlfn.XLOOKUP(1,(Tbl_Input[Well Position]='Cq and Delta Cq'!A79)*(Tbl_Input[Reporter]='Cq and Delta Cq'!$E$1),Tbl_Input[Cq])</f>
        <v>22.785513363410374</v>
      </c>
      <c r="F79" s="66" cm="1">
        <f t="array" ref="F79">_xlfn.XLOOKUP(1,(Tbl_Input[Well Position]='Cq and Delta Cq'!A79)*(Tbl_Input[Reporter]='Cq and Delta Cq'!$F$1),Tbl_Input[Cq])</f>
        <v>29.572531730529171</v>
      </c>
      <c r="G79" s="66" cm="1">
        <f t="array" ref="G79">_xlfn.XLOOKUP(1,(Tbl_Input[Well Position]='Cq and Delta Cq'!A79)*(Tbl_Input[Reporter]='Cq and Delta Cq'!$G$1),Tbl_Input[Cq])</f>
        <v>31.799546274983349</v>
      </c>
      <c r="I79" s="66" t="e">
        <f t="shared" si="4"/>
        <v>#VALUE!</v>
      </c>
      <c r="J79" s="66">
        <f t="shared" si="5"/>
        <v>2.2270145444541782</v>
      </c>
    </row>
    <row r="80" spans="1:10" x14ac:dyDescent="0.25">
      <c r="A80" s="60" t="str">
        <f>'Data Input'!B404</f>
        <v>H6</v>
      </c>
      <c r="B80" s="60" t="str">
        <f>'Data Input'!D404</f>
        <v>OM3-016_0 min</v>
      </c>
      <c r="C80" s="66" t="str" cm="1">
        <f t="array" ref="C80">_xlfn.XLOOKUP(1,(Tbl_Input[Well Position]='Cq and Delta Cq'!A80)*(Tbl_Input[Reporter]='Cq and Delta Cq'!$C$1),Tbl_Input[Cq])</f>
        <v>Undetermined</v>
      </c>
      <c r="D80" s="66" t="str" cm="1">
        <f t="array" ref="D80">_xlfn.XLOOKUP(1,(Tbl_Input[Well Position]='Cq and Delta Cq'!A80)*(Tbl_Input[Reporter]='Cq and Delta Cq'!$D$1),Tbl_Input[Cq])</f>
        <v>Undetermined</v>
      </c>
      <c r="E80" s="66" cm="1">
        <f t="array" ref="E80">_xlfn.XLOOKUP(1,(Tbl_Input[Well Position]='Cq and Delta Cq'!A80)*(Tbl_Input[Reporter]='Cq and Delta Cq'!$E$1),Tbl_Input[Cq])</f>
        <v>24.83829107599059</v>
      </c>
      <c r="F80" s="66" cm="1">
        <f t="array" ref="F80">_xlfn.XLOOKUP(1,(Tbl_Input[Well Position]='Cq and Delta Cq'!A80)*(Tbl_Input[Reporter]='Cq and Delta Cq'!$F$1),Tbl_Input[Cq])</f>
        <v>27.294485035550423</v>
      </c>
      <c r="G80" s="66" cm="1">
        <f t="array" ref="G80">_xlfn.XLOOKUP(1,(Tbl_Input[Well Position]='Cq and Delta Cq'!A80)*(Tbl_Input[Reporter]='Cq and Delta Cq'!$G$1),Tbl_Input[Cq])</f>
        <v>29.593598189135243</v>
      </c>
      <c r="I80" s="66" t="e">
        <f t="shared" si="4"/>
        <v>#VALUE!</v>
      </c>
      <c r="J80" s="66">
        <f t="shared" si="5"/>
        <v>2.2991131535848197</v>
      </c>
    </row>
    <row r="81" spans="1:10" x14ac:dyDescent="0.25">
      <c r="A81" s="60" t="str">
        <f>'Data Input'!B409</f>
        <v>H7</v>
      </c>
      <c r="B81" s="60" t="str">
        <f>'Data Input'!D409</f>
        <v>OM3-016_5 min</v>
      </c>
      <c r="C81" s="66" t="str" cm="1">
        <f t="array" ref="C81">_xlfn.XLOOKUP(1,(Tbl_Input[Well Position]='Cq and Delta Cq'!A81)*(Tbl_Input[Reporter]='Cq and Delta Cq'!$C$1),Tbl_Input[Cq])</f>
        <v>Undetermined</v>
      </c>
      <c r="D81" s="66" t="str" cm="1">
        <f t="array" ref="D81">_xlfn.XLOOKUP(1,(Tbl_Input[Well Position]='Cq and Delta Cq'!A81)*(Tbl_Input[Reporter]='Cq and Delta Cq'!$D$1),Tbl_Input[Cq])</f>
        <v>Undetermined</v>
      </c>
      <c r="E81" s="66" cm="1">
        <f t="array" ref="E81">_xlfn.XLOOKUP(1,(Tbl_Input[Well Position]='Cq and Delta Cq'!A81)*(Tbl_Input[Reporter]='Cq and Delta Cq'!$E$1),Tbl_Input[Cq])</f>
        <v>24.395818447107686</v>
      </c>
      <c r="F81" s="66" cm="1">
        <f t="array" ref="F81">_xlfn.XLOOKUP(1,(Tbl_Input[Well Position]='Cq and Delta Cq'!A81)*(Tbl_Input[Reporter]='Cq and Delta Cq'!$F$1),Tbl_Input[Cq])</f>
        <v>25.697582834464512</v>
      </c>
      <c r="G81" s="66" cm="1">
        <f t="array" ref="G81">_xlfn.XLOOKUP(1,(Tbl_Input[Well Position]='Cq and Delta Cq'!A81)*(Tbl_Input[Reporter]='Cq and Delta Cq'!$G$1),Tbl_Input[Cq])</f>
        <v>28.235618636141147</v>
      </c>
      <c r="I81" s="66" t="e">
        <f t="shared" si="4"/>
        <v>#VALUE!</v>
      </c>
      <c r="J81" s="66">
        <f t="shared" si="5"/>
        <v>2.5380358016766351</v>
      </c>
    </row>
    <row r="82" spans="1:10" x14ac:dyDescent="0.25">
      <c r="A82" s="60" t="str">
        <f>'Data Input'!B414</f>
        <v>H8</v>
      </c>
      <c r="B82" s="60" t="str">
        <f>'Data Input'!D414</f>
        <v>OM3-016_30 min</v>
      </c>
      <c r="C82" s="66" t="str" cm="1">
        <f t="array" ref="C82">_xlfn.XLOOKUP(1,(Tbl_Input[Well Position]='Cq and Delta Cq'!A82)*(Tbl_Input[Reporter]='Cq and Delta Cq'!$C$1),Tbl_Input[Cq])</f>
        <v>Undetermined</v>
      </c>
      <c r="D82" s="66" t="str" cm="1">
        <f t="array" ref="D82">_xlfn.XLOOKUP(1,(Tbl_Input[Well Position]='Cq and Delta Cq'!A82)*(Tbl_Input[Reporter]='Cq and Delta Cq'!$D$1),Tbl_Input[Cq])</f>
        <v>Undetermined</v>
      </c>
      <c r="E82" s="66" cm="1">
        <f t="array" ref="E82">_xlfn.XLOOKUP(1,(Tbl_Input[Well Position]='Cq and Delta Cq'!A82)*(Tbl_Input[Reporter]='Cq and Delta Cq'!$E$1),Tbl_Input[Cq])</f>
        <v>24.720317937642569</v>
      </c>
      <c r="F82" s="66" cm="1">
        <f t="array" ref="F82">_xlfn.XLOOKUP(1,(Tbl_Input[Well Position]='Cq and Delta Cq'!A82)*(Tbl_Input[Reporter]='Cq and Delta Cq'!$F$1),Tbl_Input[Cq])</f>
        <v>25.446067040910215</v>
      </c>
      <c r="G82" s="66" cm="1">
        <f t="array" ref="G82">_xlfn.XLOOKUP(1,(Tbl_Input[Well Position]='Cq and Delta Cq'!A82)*(Tbl_Input[Reporter]='Cq and Delta Cq'!$G$1),Tbl_Input[Cq])</f>
        <v>28.243365600355084</v>
      </c>
      <c r="I82" s="66" t="e">
        <f t="shared" si="4"/>
        <v>#VALUE!</v>
      </c>
      <c r="J82" s="66">
        <f t="shared" si="5"/>
        <v>2.7972985594448687</v>
      </c>
    </row>
    <row r="83" spans="1:10" x14ac:dyDescent="0.25">
      <c r="A83" s="60" t="str">
        <f>'Data Input'!B419</f>
        <v>H9</v>
      </c>
      <c r="B83" s="60" t="str">
        <f>'Data Input'!D419</f>
        <v>OM3-016_60 min</v>
      </c>
      <c r="C83" s="66" t="str" cm="1">
        <f t="array" ref="C83">_xlfn.XLOOKUP(1,(Tbl_Input[Well Position]='Cq and Delta Cq'!A83)*(Tbl_Input[Reporter]='Cq and Delta Cq'!$C$1),Tbl_Input[Cq])</f>
        <v>Undetermined</v>
      </c>
      <c r="D83" s="66" t="str" cm="1">
        <f t="array" ref="D83">_xlfn.XLOOKUP(1,(Tbl_Input[Well Position]='Cq and Delta Cq'!A83)*(Tbl_Input[Reporter]='Cq and Delta Cq'!$D$1),Tbl_Input[Cq])</f>
        <v>Undetermined</v>
      </c>
      <c r="E83" s="66" cm="1">
        <f t="array" ref="E83">_xlfn.XLOOKUP(1,(Tbl_Input[Well Position]='Cq and Delta Cq'!A83)*(Tbl_Input[Reporter]='Cq and Delta Cq'!$E$1),Tbl_Input[Cq])</f>
        <v>26.124265296031364</v>
      </c>
      <c r="F83" s="66" cm="1">
        <f t="array" ref="F83">_xlfn.XLOOKUP(1,(Tbl_Input[Well Position]='Cq and Delta Cq'!A83)*(Tbl_Input[Reporter]='Cq and Delta Cq'!$F$1),Tbl_Input[Cq])</f>
        <v>28.92463278637765</v>
      </c>
      <c r="G83" s="66" cm="1">
        <f t="array" ref="G83">_xlfn.XLOOKUP(1,(Tbl_Input[Well Position]='Cq and Delta Cq'!A83)*(Tbl_Input[Reporter]='Cq and Delta Cq'!$G$1),Tbl_Input[Cq])</f>
        <v>31.170209355548003</v>
      </c>
      <c r="I83" s="66" t="e">
        <f t="shared" si="4"/>
        <v>#VALUE!</v>
      </c>
      <c r="J83" s="66">
        <f t="shared" si="5"/>
        <v>2.2455765691703533</v>
      </c>
    </row>
    <row r="84" spans="1:10" x14ac:dyDescent="0.25">
      <c r="A84" s="60" t="str">
        <f>'Data Input'!B424</f>
        <v>H10</v>
      </c>
      <c r="B84" s="60" t="str">
        <f>'Data Input'!D424</f>
        <v>OM3-016_120 min</v>
      </c>
      <c r="C84" s="66" t="str" cm="1">
        <f t="array" ref="C84">_xlfn.XLOOKUP(1,(Tbl_Input[Well Position]='Cq and Delta Cq'!A84)*(Tbl_Input[Reporter]='Cq and Delta Cq'!$C$1),Tbl_Input[Cq])</f>
        <v>Undetermined</v>
      </c>
      <c r="D84" s="66" t="str" cm="1">
        <f t="array" ref="D84">_xlfn.XLOOKUP(1,(Tbl_Input[Well Position]='Cq and Delta Cq'!A84)*(Tbl_Input[Reporter]='Cq and Delta Cq'!$D$1),Tbl_Input[Cq])</f>
        <v>Undetermined</v>
      </c>
      <c r="E84" s="66" cm="1">
        <f t="array" ref="E84">_xlfn.XLOOKUP(1,(Tbl_Input[Well Position]='Cq and Delta Cq'!A84)*(Tbl_Input[Reporter]='Cq and Delta Cq'!$E$1),Tbl_Input[Cq])</f>
        <v>26.514884761124804</v>
      </c>
      <c r="F84" s="66" cm="1">
        <f t="array" ref="F84">_xlfn.XLOOKUP(1,(Tbl_Input[Well Position]='Cq and Delta Cq'!A84)*(Tbl_Input[Reporter]='Cq and Delta Cq'!$F$1),Tbl_Input[Cq])</f>
        <v>27.584446217015866</v>
      </c>
      <c r="G84" s="66" cm="1">
        <f t="array" ref="G84">_xlfn.XLOOKUP(1,(Tbl_Input[Well Position]='Cq and Delta Cq'!A84)*(Tbl_Input[Reporter]='Cq and Delta Cq'!$G$1),Tbl_Input[Cq])</f>
        <v>30.210178489929596</v>
      </c>
      <c r="I84" s="66" t="e">
        <f t="shared" si="4"/>
        <v>#VALUE!</v>
      </c>
      <c r="J84" s="66">
        <f t="shared" si="5"/>
        <v>2.62573227291373</v>
      </c>
    </row>
    <row r="85" spans="1:10" x14ac:dyDescent="0.25">
      <c r="A85" s="60" t="str">
        <f>'Data Input'!B429</f>
        <v>H11</v>
      </c>
      <c r="B85" s="60" t="str">
        <f>'Data Input'!D429</f>
        <v>vNG</v>
      </c>
      <c r="C85" s="66" t="str" cm="1">
        <f t="array" ref="C85">_xlfn.XLOOKUP(1,(Tbl_Input[Well Position]='Cq and Delta Cq'!A85)*(Tbl_Input[Reporter]='Cq and Delta Cq'!$C$1),Tbl_Input[Cq])</f>
        <v>Undetermined</v>
      </c>
      <c r="D85" s="66" t="str" cm="1">
        <f t="array" ref="D85">_xlfn.XLOOKUP(1,(Tbl_Input[Well Position]='Cq and Delta Cq'!A85)*(Tbl_Input[Reporter]='Cq and Delta Cq'!$D$1),Tbl_Input[Cq])</f>
        <v>Undetermined</v>
      </c>
      <c r="E85" s="66" t="str" cm="1">
        <f t="array" ref="E85">_xlfn.XLOOKUP(1,(Tbl_Input[Well Position]='Cq and Delta Cq'!A85)*(Tbl_Input[Reporter]='Cq and Delta Cq'!$E$1),Tbl_Input[Cq])</f>
        <v>Undetermined</v>
      </c>
      <c r="F85" s="66" cm="1">
        <f t="array" ref="F85">_xlfn.XLOOKUP(1,(Tbl_Input[Well Position]='Cq and Delta Cq'!A85)*(Tbl_Input[Reporter]='Cq and Delta Cq'!$F$1),Tbl_Input[Cq])</f>
        <v>16.466207682565205</v>
      </c>
      <c r="G85" s="66" cm="1">
        <f t="array" ref="G85">_xlfn.XLOOKUP(1,(Tbl_Input[Well Position]='Cq and Delta Cq'!A85)*(Tbl_Input[Reporter]='Cq and Delta Cq'!$G$1),Tbl_Input[Cq])</f>
        <v>24.221487049204093</v>
      </c>
      <c r="I85" s="66" t="e">
        <f t="shared" si="4"/>
        <v>#VALUE!</v>
      </c>
      <c r="J85" s="66">
        <f t="shared" si="5"/>
        <v>7.755279366638888</v>
      </c>
    </row>
    <row r="86" spans="1:10" x14ac:dyDescent="0.25">
      <c r="A86" s="60" t="str">
        <f>'Data Input'!B434</f>
        <v>H12</v>
      </c>
      <c r="B86" s="60" t="str">
        <f>'Data Input'!D434</f>
        <v>nvNG</v>
      </c>
      <c r="C86" s="66" t="str" cm="1">
        <f t="array" ref="C86">_xlfn.XLOOKUP(1,(Tbl_Input[Well Position]='Cq and Delta Cq'!A86)*(Tbl_Input[Reporter]='Cq and Delta Cq'!$C$1),Tbl_Input[Cq])</f>
        <v>Undetermined</v>
      </c>
      <c r="D86" s="66" t="str" cm="1">
        <f t="array" ref="D86">_xlfn.XLOOKUP(1,(Tbl_Input[Well Position]='Cq and Delta Cq'!A86)*(Tbl_Input[Reporter]='Cq and Delta Cq'!$D$1),Tbl_Input[Cq])</f>
        <v>Undetermined</v>
      </c>
      <c r="E86" s="66" t="str" cm="1">
        <f t="array" ref="E86">_xlfn.XLOOKUP(1,(Tbl_Input[Well Position]='Cq and Delta Cq'!A86)*(Tbl_Input[Reporter]='Cq and Delta Cq'!$E$1),Tbl_Input[Cq])</f>
        <v>Undetermined</v>
      </c>
      <c r="F86" s="66" cm="1">
        <f t="array" ref="F86">_xlfn.XLOOKUP(1,(Tbl_Input[Well Position]='Cq and Delta Cq'!A86)*(Tbl_Input[Reporter]='Cq and Delta Cq'!$F$1),Tbl_Input[Cq])</f>
        <v>24.817078095154827</v>
      </c>
      <c r="G86" s="66" cm="1">
        <f t="array" ref="G86">_xlfn.XLOOKUP(1,(Tbl_Input[Well Position]='Cq and Delta Cq'!A86)*(Tbl_Input[Reporter]='Cq and Delta Cq'!$G$1),Tbl_Input[Cq])</f>
        <v>28.641541746552853</v>
      </c>
      <c r="I86" s="66" t="e">
        <f t="shared" si="4"/>
        <v>#VALUE!</v>
      </c>
      <c r="J86" s="66">
        <f t="shared" si="5"/>
        <v>3.8244636513980268</v>
      </c>
    </row>
    <row r="87" spans="1:10" x14ac:dyDescent="0.25">
      <c r="A87" s="60">
        <f>'Data Input'!B439</f>
        <v>0</v>
      </c>
      <c r="B87" s="60">
        <f>'Data Input'!D439</f>
        <v>0</v>
      </c>
      <c r="C87" s="66" t="e" cm="1">
        <f t="array" ref="C87">_xlfn.XLOOKUP(1,(Tbl_Input[Well Position]='Cq and Delta Cq'!A87)*(Tbl_Input[Reporter]='Cq and Delta Cq'!$C$1),Tbl_Input[Cq])</f>
        <v>#N/A</v>
      </c>
      <c r="D87" s="66" t="e" cm="1">
        <f t="array" ref="D87">_xlfn.XLOOKUP(1,(Tbl_Input[Well Position]='Cq and Delta Cq'!A87)*(Tbl_Input[Reporter]='Cq and Delta Cq'!$D$1),Tbl_Input[Cq])</f>
        <v>#N/A</v>
      </c>
      <c r="E87" s="66" t="e" cm="1">
        <f t="array" ref="E87">_xlfn.XLOOKUP(1,(Tbl_Input[Well Position]='Cq and Delta Cq'!A87)*(Tbl_Input[Reporter]='Cq and Delta Cq'!$E$1),Tbl_Input[Cq])</f>
        <v>#N/A</v>
      </c>
      <c r="F87" s="66" t="e" cm="1">
        <f t="array" ref="F87">_xlfn.XLOOKUP(1,(Tbl_Input[Well Position]='Cq and Delta Cq'!A87)*(Tbl_Input[Reporter]='Cq and Delta Cq'!$F$1),Tbl_Input[Cq])</f>
        <v>#N/A</v>
      </c>
      <c r="G87" s="66" t="e" cm="1">
        <f t="array" ref="G87">_xlfn.XLOOKUP(1,(Tbl_Input[Well Position]='Cq and Delta Cq'!A87)*(Tbl_Input[Reporter]='Cq and Delta Cq'!$G$1),Tbl_Input[Cq])</f>
        <v>#N/A</v>
      </c>
      <c r="I87" s="66" t="e">
        <f t="shared" si="4"/>
        <v>#N/A</v>
      </c>
      <c r="J87" s="66" t="e">
        <f t="shared" si="5"/>
        <v>#N/A</v>
      </c>
    </row>
    <row r="88" spans="1:10" x14ac:dyDescent="0.25">
      <c r="A88" s="60">
        <f>'Data Input'!B444</f>
        <v>0</v>
      </c>
      <c r="B88" s="60">
        <f>'Data Input'!D444</f>
        <v>0</v>
      </c>
      <c r="C88" s="66" t="e" cm="1">
        <f t="array" ref="C88">_xlfn.XLOOKUP(1,(Tbl_Input[Well Position]='Cq and Delta Cq'!A88)*(Tbl_Input[Reporter]='Cq and Delta Cq'!$C$1),Tbl_Input[Cq])</f>
        <v>#N/A</v>
      </c>
      <c r="D88" s="66" t="e" cm="1">
        <f t="array" ref="D88">_xlfn.XLOOKUP(1,(Tbl_Input[Well Position]='Cq and Delta Cq'!A88)*(Tbl_Input[Reporter]='Cq and Delta Cq'!$D$1),Tbl_Input[Cq])</f>
        <v>#N/A</v>
      </c>
      <c r="E88" s="66" t="e" cm="1">
        <f t="array" ref="E88">_xlfn.XLOOKUP(1,(Tbl_Input[Well Position]='Cq and Delta Cq'!A88)*(Tbl_Input[Reporter]='Cq and Delta Cq'!$E$1),Tbl_Input[Cq])</f>
        <v>#N/A</v>
      </c>
      <c r="F88" s="66" t="e" cm="1">
        <f t="array" ref="F88">_xlfn.XLOOKUP(1,(Tbl_Input[Well Position]='Cq and Delta Cq'!A88)*(Tbl_Input[Reporter]='Cq and Delta Cq'!$F$1),Tbl_Input[Cq])</f>
        <v>#N/A</v>
      </c>
      <c r="G88" s="66" t="e" cm="1">
        <f t="array" ref="G88">_xlfn.XLOOKUP(1,(Tbl_Input[Well Position]='Cq and Delta Cq'!A88)*(Tbl_Input[Reporter]='Cq and Delta Cq'!$G$1),Tbl_Input[Cq])</f>
        <v>#N/A</v>
      </c>
      <c r="I88" s="66" t="e">
        <f t="shared" si="4"/>
        <v>#N/A</v>
      </c>
      <c r="J88" s="66" t="e">
        <f t="shared" si="5"/>
        <v>#N/A</v>
      </c>
    </row>
    <row r="89" spans="1:10" x14ac:dyDescent="0.25">
      <c r="A89" s="60">
        <f>'Data Input'!B449</f>
        <v>0</v>
      </c>
      <c r="B89" s="60">
        <f>'Data Input'!D449</f>
        <v>0</v>
      </c>
      <c r="C89" s="66" t="e" cm="1">
        <f t="array" ref="C89">_xlfn.XLOOKUP(1,(Tbl_Input[Well Position]='Cq and Delta Cq'!A89)*(Tbl_Input[Reporter]='Cq and Delta Cq'!$C$1),Tbl_Input[Cq])</f>
        <v>#N/A</v>
      </c>
      <c r="D89" s="66" t="e" cm="1">
        <f t="array" ref="D89">_xlfn.XLOOKUP(1,(Tbl_Input[Well Position]='Cq and Delta Cq'!A89)*(Tbl_Input[Reporter]='Cq and Delta Cq'!$D$1),Tbl_Input[Cq])</f>
        <v>#N/A</v>
      </c>
      <c r="E89" s="66" t="e" cm="1">
        <f t="array" ref="E89">_xlfn.XLOOKUP(1,(Tbl_Input[Well Position]='Cq and Delta Cq'!A89)*(Tbl_Input[Reporter]='Cq and Delta Cq'!$E$1),Tbl_Input[Cq])</f>
        <v>#N/A</v>
      </c>
      <c r="F89" s="66" t="e" cm="1">
        <f t="array" ref="F89">_xlfn.XLOOKUP(1,(Tbl_Input[Well Position]='Cq and Delta Cq'!A89)*(Tbl_Input[Reporter]='Cq and Delta Cq'!$F$1),Tbl_Input[Cq])</f>
        <v>#N/A</v>
      </c>
      <c r="G89" s="66" t="e" cm="1">
        <f t="array" ref="G89">_xlfn.XLOOKUP(1,(Tbl_Input[Well Position]='Cq and Delta Cq'!A89)*(Tbl_Input[Reporter]='Cq and Delta Cq'!$G$1),Tbl_Input[Cq])</f>
        <v>#N/A</v>
      </c>
      <c r="I89" s="66" t="e">
        <f t="shared" si="4"/>
        <v>#N/A</v>
      </c>
      <c r="J89" s="66" t="e">
        <f t="shared" si="5"/>
        <v>#N/A</v>
      </c>
    </row>
    <row r="90" spans="1:10" x14ac:dyDescent="0.25">
      <c r="A90" s="60">
        <f>'Data Input'!B454</f>
        <v>0</v>
      </c>
      <c r="B90" s="60">
        <f>'Data Input'!D454</f>
        <v>0</v>
      </c>
      <c r="C90" s="66" t="e" cm="1">
        <f t="array" ref="C90">_xlfn.XLOOKUP(1,(Tbl_Input[Well Position]='Cq and Delta Cq'!A90)*(Tbl_Input[Reporter]='Cq and Delta Cq'!$C$1),Tbl_Input[Cq])</f>
        <v>#N/A</v>
      </c>
      <c r="D90" s="66" t="e" cm="1">
        <f t="array" ref="D90">_xlfn.XLOOKUP(1,(Tbl_Input[Well Position]='Cq and Delta Cq'!A90)*(Tbl_Input[Reporter]='Cq and Delta Cq'!$D$1),Tbl_Input[Cq])</f>
        <v>#N/A</v>
      </c>
      <c r="E90" s="66" t="e" cm="1">
        <f t="array" ref="E90">_xlfn.XLOOKUP(1,(Tbl_Input[Well Position]='Cq and Delta Cq'!A90)*(Tbl_Input[Reporter]='Cq and Delta Cq'!$E$1),Tbl_Input[Cq])</f>
        <v>#N/A</v>
      </c>
      <c r="F90" s="66" t="e" cm="1">
        <f t="array" ref="F90">_xlfn.XLOOKUP(1,(Tbl_Input[Well Position]='Cq and Delta Cq'!A90)*(Tbl_Input[Reporter]='Cq and Delta Cq'!$F$1),Tbl_Input[Cq])</f>
        <v>#N/A</v>
      </c>
      <c r="G90" s="66" t="e" cm="1">
        <f t="array" ref="G90">_xlfn.XLOOKUP(1,(Tbl_Input[Well Position]='Cq and Delta Cq'!A90)*(Tbl_Input[Reporter]='Cq and Delta Cq'!$G$1),Tbl_Input[Cq])</f>
        <v>#N/A</v>
      </c>
      <c r="I90" s="66" t="e">
        <f t="shared" si="4"/>
        <v>#N/A</v>
      </c>
      <c r="J90" s="66" t="e">
        <f t="shared" si="5"/>
        <v>#N/A</v>
      </c>
    </row>
    <row r="91" spans="1:10" x14ac:dyDescent="0.25">
      <c r="A91" s="60">
        <f>'Data Input'!B459</f>
        <v>0</v>
      </c>
      <c r="B91" s="60">
        <f>'Data Input'!D459</f>
        <v>0</v>
      </c>
      <c r="C91" s="66" t="e" cm="1">
        <f t="array" ref="C91">_xlfn.XLOOKUP(1,(Tbl_Input[Well Position]='Cq and Delta Cq'!A91)*(Tbl_Input[Reporter]='Cq and Delta Cq'!$C$1),Tbl_Input[Cq])</f>
        <v>#N/A</v>
      </c>
      <c r="D91" s="66" t="e" cm="1">
        <f t="array" ref="D91">_xlfn.XLOOKUP(1,(Tbl_Input[Well Position]='Cq and Delta Cq'!A91)*(Tbl_Input[Reporter]='Cq and Delta Cq'!$D$1),Tbl_Input[Cq])</f>
        <v>#N/A</v>
      </c>
      <c r="E91" s="66" t="e" cm="1">
        <f t="array" ref="E91">_xlfn.XLOOKUP(1,(Tbl_Input[Well Position]='Cq and Delta Cq'!A91)*(Tbl_Input[Reporter]='Cq and Delta Cq'!$E$1),Tbl_Input[Cq])</f>
        <v>#N/A</v>
      </c>
      <c r="F91" s="66" t="e" cm="1">
        <f t="array" ref="F91">_xlfn.XLOOKUP(1,(Tbl_Input[Well Position]='Cq and Delta Cq'!A91)*(Tbl_Input[Reporter]='Cq and Delta Cq'!$F$1),Tbl_Input[Cq])</f>
        <v>#N/A</v>
      </c>
      <c r="G91" s="66" t="e" cm="1">
        <f t="array" ref="G91">_xlfn.XLOOKUP(1,(Tbl_Input[Well Position]='Cq and Delta Cq'!A91)*(Tbl_Input[Reporter]='Cq and Delta Cq'!$G$1),Tbl_Input[Cq])</f>
        <v>#N/A</v>
      </c>
      <c r="I91" s="66" t="e">
        <f t="shared" si="4"/>
        <v>#N/A</v>
      </c>
      <c r="J91" s="66" t="e">
        <f t="shared" si="5"/>
        <v>#N/A</v>
      </c>
    </row>
    <row r="92" spans="1:10" x14ac:dyDescent="0.25">
      <c r="A92" s="60">
        <f>'Data Input'!B464</f>
        <v>0</v>
      </c>
      <c r="B92" s="60">
        <f>'Data Input'!D464</f>
        <v>0</v>
      </c>
      <c r="C92" s="66" t="e" cm="1">
        <f t="array" ref="C92">_xlfn.XLOOKUP(1,(Tbl_Input[Well Position]='Cq and Delta Cq'!A92)*(Tbl_Input[Reporter]='Cq and Delta Cq'!$C$1),Tbl_Input[Cq])</f>
        <v>#N/A</v>
      </c>
      <c r="D92" s="66" t="e" cm="1">
        <f t="array" ref="D92">_xlfn.XLOOKUP(1,(Tbl_Input[Well Position]='Cq and Delta Cq'!A92)*(Tbl_Input[Reporter]='Cq and Delta Cq'!$D$1),Tbl_Input[Cq])</f>
        <v>#N/A</v>
      </c>
      <c r="E92" s="66" t="e" cm="1">
        <f t="array" ref="E92">_xlfn.XLOOKUP(1,(Tbl_Input[Well Position]='Cq and Delta Cq'!A92)*(Tbl_Input[Reporter]='Cq and Delta Cq'!$E$1),Tbl_Input[Cq])</f>
        <v>#N/A</v>
      </c>
      <c r="F92" s="66" t="e" cm="1">
        <f t="array" ref="F92">_xlfn.XLOOKUP(1,(Tbl_Input[Well Position]='Cq and Delta Cq'!A92)*(Tbl_Input[Reporter]='Cq and Delta Cq'!$F$1),Tbl_Input[Cq])</f>
        <v>#N/A</v>
      </c>
      <c r="G92" s="66" t="e" cm="1">
        <f t="array" ref="G92">_xlfn.XLOOKUP(1,(Tbl_Input[Well Position]='Cq and Delta Cq'!A92)*(Tbl_Input[Reporter]='Cq and Delta Cq'!$G$1),Tbl_Input[Cq])</f>
        <v>#N/A</v>
      </c>
      <c r="I92" s="66" t="e">
        <f t="shared" si="4"/>
        <v>#N/A</v>
      </c>
      <c r="J92" s="66" t="e">
        <f t="shared" si="5"/>
        <v>#N/A</v>
      </c>
    </row>
    <row r="93" spans="1:10" x14ac:dyDescent="0.25">
      <c r="A93" s="60">
        <f>'Data Input'!B469</f>
        <v>0</v>
      </c>
      <c r="B93" s="60">
        <f>'Data Input'!D469</f>
        <v>0</v>
      </c>
      <c r="C93" s="66" t="e" cm="1">
        <f t="array" ref="C93">_xlfn.XLOOKUP(1,(Tbl_Input[Well Position]='Cq and Delta Cq'!A93)*(Tbl_Input[Reporter]='Cq and Delta Cq'!$C$1),Tbl_Input[Cq])</f>
        <v>#N/A</v>
      </c>
      <c r="D93" s="66" t="e" cm="1">
        <f t="array" ref="D93">_xlfn.XLOOKUP(1,(Tbl_Input[Well Position]='Cq and Delta Cq'!A93)*(Tbl_Input[Reporter]='Cq and Delta Cq'!$D$1),Tbl_Input[Cq])</f>
        <v>#N/A</v>
      </c>
      <c r="E93" s="66" t="e" cm="1">
        <f t="array" ref="E93">_xlfn.XLOOKUP(1,(Tbl_Input[Well Position]='Cq and Delta Cq'!A93)*(Tbl_Input[Reporter]='Cq and Delta Cq'!$E$1),Tbl_Input[Cq])</f>
        <v>#N/A</v>
      </c>
      <c r="F93" s="66" t="e" cm="1">
        <f t="array" ref="F93">_xlfn.XLOOKUP(1,(Tbl_Input[Well Position]='Cq and Delta Cq'!A93)*(Tbl_Input[Reporter]='Cq and Delta Cq'!$F$1),Tbl_Input[Cq])</f>
        <v>#N/A</v>
      </c>
      <c r="G93" s="66" t="e" cm="1">
        <f t="array" ref="G93">_xlfn.XLOOKUP(1,(Tbl_Input[Well Position]='Cq and Delta Cq'!A93)*(Tbl_Input[Reporter]='Cq and Delta Cq'!$G$1),Tbl_Input[Cq])</f>
        <v>#N/A</v>
      </c>
      <c r="I93" s="66" t="e">
        <f t="shared" si="4"/>
        <v>#N/A</v>
      </c>
      <c r="J93" s="66" t="e">
        <f t="shared" si="5"/>
        <v>#N/A</v>
      </c>
    </row>
    <row r="94" spans="1:10" x14ac:dyDescent="0.25">
      <c r="A94" s="60">
        <f>'Data Input'!B474</f>
        <v>0</v>
      </c>
      <c r="B94" s="60">
        <f>'Data Input'!D474</f>
        <v>0</v>
      </c>
      <c r="C94" s="66" t="e" cm="1">
        <f t="array" ref="C94">_xlfn.XLOOKUP(1,(Tbl_Input[Well Position]='Cq and Delta Cq'!A94)*(Tbl_Input[Reporter]='Cq and Delta Cq'!$C$1),Tbl_Input[Cq])</f>
        <v>#N/A</v>
      </c>
      <c r="D94" s="66" t="e" cm="1">
        <f t="array" ref="D94">_xlfn.XLOOKUP(1,(Tbl_Input[Well Position]='Cq and Delta Cq'!A94)*(Tbl_Input[Reporter]='Cq and Delta Cq'!$D$1),Tbl_Input[Cq])</f>
        <v>#N/A</v>
      </c>
      <c r="E94" s="66" t="e" cm="1">
        <f t="array" ref="E94">_xlfn.XLOOKUP(1,(Tbl_Input[Well Position]='Cq and Delta Cq'!A94)*(Tbl_Input[Reporter]='Cq and Delta Cq'!$E$1),Tbl_Input[Cq])</f>
        <v>#N/A</v>
      </c>
      <c r="F94" s="66" t="e" cm="1">
        <f t="array" ref="F94">_xlfn.XLOOKUP(1,(Tbl_Input[Well Position]='Cq and Delta Cq'!A94)*(Tbl_Input[Reporter]='Cq and Delta Cq'!$F$1),Tbl_Input[Cq])</f>
        <v>#N/A</v>
      </c>
      <c r="G94" s="66" t="e" cm="1">
        <f t="array" ref="G94">_xlfn.XLOOKUP(1,(Tbl_Input[Well Position]='Cq and Delta Cq'!A94)*(Tbl_Input[Reporter]='Cq and Delta Cq'!$G$1),Tbl_Input[Cq])</f>
        <v>#N/A</v>
      </c>
      <c r="I94" s="66" t="e">
        <f t="shared" si="4"/>
        <v>#N/A</v>
      </c>
      <c r="J94" s="66" t="e">
        <f t="shared" si="5"/>
        <v>#N/A</v>
      </c>
    </row>
    <row r="95" spans="1:10" x14ac:dyDescent="0.25">
      <c r="A95" s="60">
        <f>'Data Input'!B479</f>
        <v>0</v>
      </c>
      <c r="B95" s="60">
        <f>'Data Input'!D479</f>
        <v>0</v>
      </c>
      <c r="C95" s="66" t="e" cm="1">
        <f t="array" ref="C95">_xlfn.XLOOKUP(1,(Tbl_Input[Well Position]='Cq and Delta Cq'!A95)*(Tbl_Input[Reporter]='Cq and Delta Cq'!$C$1),Tbl_Input[Cq])</f>
        <v>#N/A</v>
      </c>
      <c r="D95" s="66" t="e" cm="1">
        <f t="array" ref="D95">_xlfn.XLOOKUP(1,(Tbl_Input[Well Position]='Cq and Delta Cq'!A95)*(Tbl_Input[Reporter]='Cq and Delta Cq'!$D$1),Tbl_Input[Cq])</f>
        <v>#N/A</v>
      </c>
      <c r="E95" s="66" t="e" cm="1">
        <f t="array" ref="E95">_xlfn.XLOOKUP(1,(Tbl_Input[Well Position]='Cq and Delta Cq'!A95)*(Tbl_Input[Reporter]='Cq and Delta Cq'!$E$1),Tbl_Input[Cq])</f>
        <v>#N/A</v>
      </c>
      <c r="F95" s="66" t="e" cm="1">
        <f t="array" ref="F95">_xlfn.XLOOKUP(1,(Tbl_Input[Well Position]='Cq and Delta Cq'!A95)*(Tbl_Input[Reporter]='Cq and Delta Cq'!$F$1),Tbl_Input[Cq])</f>
        <v>#N/A</v>
      </c>
      <c r="G95" s="66" t="e" cm="1">
        <f t="array" ref="G95">_xlfn.XLOOKUP(1,(Tbl_Input[Well Position]='Cq and Delta Cq'!A95)*(Tbl_Input[Reporter]='Cq and Delta Cq'!$G$1),Tbl_Input[Cq])</f>
        <v>#N/A</v>
      </c>
      <c r="I95" s="66" t="e">
        <f t="shared" si="4"/>
        <v>#N/A</v>
      </c>
      <c r="J95" s="66" t="e">
        <f t="shared" si="5"/>
        <v>#N/A</v>
      </c>
    </row>
    <row r="96" spans="1:10" x14ac:dyDescent="0.25">
      <c r="A96" s="60">
        <f>'Data Input'!B484</f>
        <v>0</v>
      </c>
      <c r="B96" s="60">
        <f>'Data Input'!D484</f>
        <v>0</v>
      </c>
      <c r="C96" s="66" t="e" cm="1">
        <f t="array" ref="C96">_xlfn.XLOOKUP(1,(Tbl_Input[Well Position]='Cq and Delta Cq'!A96)*(Tbl_Input[Reporter]='Cq and Delta Cq'!$C$1),Tbl_Input[Cq])</f>
        <v>#N/A</v>
      </c>
      <c r="D96" s="66" t="e" cm="1">
        <f t="array" ref="D96">_xlfn.XLOOKUP(1,(Tbl_Input[Well Position]='Cq and Delta Cq'!A96)*(Tbl_Input[Reporter]='Cq and Delta Cq'!$D$1),Tbl_Input[Cq])</f>
        <v>#N/A</v>
      </c>
      <c r="E96" s="66" t="e" cm="1">
        <f t="array" ref="E96">_xlfn.XLOOKUP(1,(Tbl_Input[Well Position]='Cq and Delta Cq'!A96)*(Tbl_Input[Reporter]='Cq and Delta Cq'!$E$1),Tbl_Input[Cq])</f>
        <v>#N/A</v>
      </c>
      <c r="F96" s="66" t="e" cm="1">
        <f t="array" ref="F96">_xlfn.XLOOKUP(1,(Tbl_Input[Well Position]='Cq and Delta Cq'!A96)*(Tbl_Input[Reporter]='Cq and Delta Cq'!$F$1),Tbl_Input[Cq])</f>
        <v>#N/A</v>
      </c>
      <c r="G96" s="66" t="e" cm="1">
        <f t="array" ref="G96">_xlfn.XLOOKUP(1,(Tbl_Input[Well Position]='Cq and Delta Cq'!A96)*(Tbl_Input[Reporter]='Cq and Delta Cq'!$G$1),Tbl_Input[Cq])</f>
        <v>#N/A</v>
      </c>
      <c r="I96" s="66" t="e">
        <f t="shared" si="4"/>
        <v>#N/A</v>
      </c>
      <c r="J96" s="66" t="e">
        <f t="shared" si="5"/>
        <v>#N/A</v>
      </c>
    </row>
    <row r="97" spans="1:10" x14ac:dyDescent="0.25">
      <c r="A97" s="61">
        <f>'Data Input'!B489</f>
        <v>0</v>
      </c>
      <c r="B97" s="61">
        <f>'Data Input'!D489</f>
        <v>0</v>
      </c>
      <c r="C97" s="67" t="e" cm="1">
        <f t="array" ref="C97">_xlfn.XLOOKUP(1,(Tbl_Input[Well Position]='Cq and Delta Cq'!A97)*(Tbl_Input[Reporter]='Cq and Delta Cq'!$C$1),Tbl_Input[Cq])</f>
        <v>#N/A</v>
      </c>
      <c r="D97" s="67" t="e" cm="1">
        <f t="array" ref="D97">_xlfn.XLOOKUP(1,(Tbl_Input[Well Position]='Cq and Delta Cq'!A97)*(Tbl_Input[Reporter]='Cq and Delta Cq'!$D$1),Tbl_Input[Cq])</f>
        <v>#N/A</v>
      </c>
      <c r="E97" s="67" t="e" cm="1">
        <f t="array" ref="E97">_xlfn.XLOOKUP(1,(Tbl_Input[Well Position]='Cq and Delta Cq'!A97)*(Tbl_Input[Reporter]='Cq and Delta Cq'!$E$1),Tbl_Input[Cq])</f>
        <v>#N/A</v>
      </c>
      <c r="F97" s="67" t="e" cm="1">
        <f t="array" ref="F97">_xlfn.XLOOKUP(1,(Tbl_Input[Well Position]='Cq and Delta Cq'!A97)*(Tbl_Input[Reporter]='Cq and Delta Cq'!$F$1),Tbl_Input[Cq])</f>
        <v>#N/A</v>
      </c>
      <c r="G97" s="67" t="e" cm="1">
        <f t="array" ref="G97">_xlfn.XLOOKUP(1,(Tbl_Input[Well Position]='Cq and Delta Cq'!A97)*(Tbl_Input[Reporter]='Cq and Delta Cq'!$G$1),Tbl_Input[Cq])</f>
        <v>#N/A</v>
      </c>
      <c r="I97" s="67" t="e">
        <f t="shared" si="4"/>
        <v>#N/A</v>
      </c>
      <c r="J97" s="67" t="e">
        <f t="shared" si="5"/>
        <v>#N/A</v>
      </c>
    </row>
  </sheetData>
  <sheetProtection selectLockedCells="1" selectUnlockedCells="1"/>
  <sortState xmlns:xlrd2="http://schemas.microsoft.com/office/spreadsheetml/2017/richdata2" ref="A2:D491">
    <sortCondition ref="C2:C49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4:U100"/>
  <sheetViews>
    <sheetView zoomScale="85" zoomScaleNormal="85" workbookViewId="0">
      <selection activeCell="K76" sqref="K76"/>
    </sheetView>
  </sheetViews>
  <sheetFormatPr defaultColWidth="9.140625" defaultRowHeight="15" x14ac:dyDescent="0.25"/>
  <cols>
    <col min="1" max="1" width="17.85546875" style="1" customWidth="1"/>
    <col min="2" max="2" width="33.85546875" style="1" customWidth="1"/>
    <col min="3" max="3" width="17.28515625" style="1" bestFit="1" customWidth="1"/>
    <col min="4" max="4" width="14.7109375" style="1" customWidth="1"/>
    <col min="5" max="5" width="19.85546875" style="1" customWidth="1"/>
    <col min="6" max="6" width="16.7109375" style="1" bestFit="1" customWidth="1"/>
    <col min="7" max="7" width="17.140625" style="1" customWidth="1"/>
    <col min="8" max="8" width="21" style="1" customWidth="1"/>
    <col min="9" max="9" width="15.140625" style="1" bestFit="1" customWidth="1"/>
    <col min="10" max="12" width="9.140625" style="1" customWidth="1"/>
    <col min="13" max="24" width="9" style="1" customWidth="1"/>
    <col min="25" max="16384" width="9.140625" style="1"/>
  </cols>
  <sheetData>
    <row r="4" spans="1:21" ht="15.75" thickBot="1" x14ac:dyDescent="0.3">
      <c r="A4" s="2" t="s">
        <v>1</v>
      </c>
      <c r="B4" s="2" t="s">
        <v>0</v>
      </c>
      <c r="C4" s="3" t="s">
        <v>76</v>
      </c>
      <c r="D4" s="2" t="s">
        <v>77</v>
      </c>
      <c r="E4" s="2" t="s">
        <v>111</v>
      </c>
      <c r="F4" s="3" t="s">
        <v>78</v>
      </c>
      <c r="G4" s="2" t="s">
        <v>79</v>
      </c>
      <c r="H4" s="2" t="s">
        <v>112</v>
      </c>
      <c r="I4" s="4" t="s">
        <v>82</v>
      </c>
    </row>
    <row r="5" spans="1:21" x14ac:dyDescent="0.25">
      <c r="A5" s="5" t="str">
        <f>'Cq and Delta Cq'!A2</f>
        <v>A1</v>
      </c>
      <c r="B5" s="5" t="str">
        <f>'Cq and Delta Cq'!B2</f>
        <v>OM3-001_0 min</v>
      </c>
      <c r="C5" s="6" t="str">
        <f>IF(OR(AND('Cq and Delta Cq'!C2&gt;'VITA Index summary'!$O$15,'Cq and Delta Cq'!C2&lt;'VITA Index summary'!$O$16),AND('Cq and Delta Cq'!D2&gt;'VITA Index summary'!$O$21,'Cq and Delta Cq'!D2&lt;'VITA Index summary'!$O$22)),"CT detected", "CT not detected")</f>
        <v>CT not detected</v>
      </c>
      <c r="D5" s="58" t="str" cm="1">
        <f t="array" ref="D5">IFERROR(_xlfn.IFS(C5="CT not detected","N/A",'Cq and Delta Cq'!C2&gt;'VITA Index summary'!$T$16,"Indeterminate",'Cq and Delta Cq'!D2&gt;'VITA Index summary'!$T$22,"Indeterminate",'Cq and Delta Cq'!C2&lt;'VITA Index summary'!$T$16,2^('Cq and Delta Cq'!I2)/2,'Cq and Delta Cq'!D2&lt;'VITA Index summary'!$T$22,2^('Cq and Delta Cq'!I2)/2),"Indeterminate")</f>
        <v>N/A</v>
      </c>
      <c r="E5" s="58">
        <f>$O$8</f>
        <v>1.57</v>
      </c>
      <c r="F5" s="6" t="str">
        <f>IF(OR(AND('Cq and Delta Cq'!F2&gt;'VITA Index summary'!$O$27,'Cq and Delta Cq'!F2&lt;'VITA Index summary'!$O$28),AND('Cq and Delta Cq'!G2&gt;'VITA Index summary'!$O$33,'Cq and Delta Cq'!G2&lt;'VITA Index summary'!$O$34)),"NG detected", "NG not detected")</f>
        <v>NG detected</v>
      </c>
      <c r="G5" s="58" t="str" cm="1">
        <f t="array" ref="G5">IFERROR(_xlfn.IFS(F5="NG not detected","N/A",'Cq and Delta Cq'!F2&gt;'VITA Index summary'!$T$28,"Indeterminate",'Cq and Delta Cq'!G2&gt;'VITA Index summary'!$T$34,"Indeterminate",'Cq and Delta Cq'!F2&lt;'VITA Index summary'!$T$28,2^('Cq and Delta Cq'!J2)/2,'Cq and Delta Cq'!G2&lt;'VITA Index summary'!$T$34,2^('Cq and Delta Cq'!J2)/2),"Indeterminate")</f>
        <v>Indeterminate</v>
      </c>
      <c r="H5" s="56">
        <f>$O$7</f>
        <v>1.46</v>
      </c>
      <c r="I5" s="7" t="str">
        <f>IFERROR(IF(AND('VITA Index summary'!$O$39&lt;'Cq and Delta Cq'!E2,'Cq and Delta Cq'!E2&lt;'VITA Index summary'!$O$40),"EC VALID","EC INVALID"),"EC INVALID")</f>
        <v>EC VALID</v>
      </c>
      <c r="M5" s="8"/>
      <c r="N5" s="9"/>
      <c r="O5" s="9"/>
      <c r="P5" s="10"/>
    </row>
    <row r="6" spans="1:21" x14ac:dyDescent="0.25">
      <c r="A6" s="5" t="str">
        <f>'Cq and Delta Cq'!A3</f>
        <v>A2</v>
      </c>
      <c r="B6" s="5" t="str">
        <f>'Cq and Delta Cq'!B3</f>
        <v>OM3-001_5 min</v>
      </c>
      <c r="C6" s="6" t="str">
        <f>IF(OR(AND('Cq and Delta Cq'!C3&gt;'VITA Index summary'!$O$15,'Cq and Delta Cq'!C3&lt;'VITA Index summary'!$O$16),AND('Cq and Delta Cq'!D3&gt;'VITA Index summary'!$O$21,'Cq and Delta Cq'!D3&lt;'VITA Index summary'!$O$22)),"CT detected", "CT not detected")</f>
        <v>CT not detected</v>
      </c>
      <c r="D6" s="58" t="str" cm="1">
        <f t="array" ref="D6">IFERROR(_xlfn.IFS(C6="CT not detected","N/A",'Cq and Delta Cq'!C3&gt;'VITA Index summary'!$T$16,"Indeterminate",'Cq and Delta Cq'!D3&gt;'VITA Index summary'!$T$22,"Indeterminate",'Cq and Delta Cq'!C3&lt;'VITA Index summary'!$T$16,2^('Cq and Delta Cq'!I3)/2,'Cq and Delta Cq'!D3&lt;'VITA Index summary'!$T$22,2^('Cq and Delta Cq'!I3)/2),"Indeterminate")</f>
        <v>N/A</v>
      </c>
      <c r="E6" s="58">
        <f t="shared" ref="E6:E69" si="0">$O$8</f>
        <v>1.57</v>
      </c>
      <c r="F6" s="6" t="str">
        <f>IF(OR(AND('Cq and Delta Cq'!F3&gt;'VITA Index summary'!$O$27,'Cq and Delta Cq'!F3&lt;'VITA Index summary'!$O$28),AND('Cq and Delta Cq'!G3&gt;'VITA Index summary'!$O$33,'Cq and Delta Cq'!G3&lt;'VITA Index summary'!$O$34)),"NG detected", "NG not detected")</f>
        <v>NG detected</v>
      </c>
      <c r="G6" s="58" t="str" cm="1">
        <f t="array" ref="G6">IFERROR(_xlfn.IFS(F6="NG not detected","N/A",'Cq and Delta Cq'!F3&gt;'VITA Index summary'!$T$28,"Indeterminate",'Cq and Delta Cq'!G3&gt;'VITA Index summary'!$T$34,"Indeterminate",'Cq and Delta Cq'!F3&lt;'VITA Index summary'!$T$28,2^('Cq and Delta Cq'!J3)/2,'Cq and Delta Cq'!G3&lt;'VITA Index summary'!$T$34,2^('Cq and Delta Cq'!J3)/2),"Indeterminate")</f>
        <v>Indeterminate</v>
      </c>
      <c r="H6" s="56">
        <f t="shared" ref="H6:H69" si="1">$O$7</f>
        <v>1.46</v>
      </c>
      <c r="I6" s="7" t="str">
        <f>IFERROR(IF(AND('VITA Index summary'!$O$39&lt;'Cq and Delta Cq'!E3,'Cq and Delta Cq'!E3&lt;'VITA Index summary'!$O$40),"EC VALID","EC INVALID"),"EC INVALID")</f>
        <v>EC VALID</v>
      </c>
      <c r="M6" s="11"/>
      <c r="N6" s="12" t="s">
        <v>106</v>
      </c>
      <c r="P6" s="13"/>
    </row>
    <row r="7" spans="1:21" x14ac:dyDescent="0.25">
      <c r="A7" s="5" t="str">
        <f>'Cq and Delta Cq'!A4</f>
        <v>A3</v>
      </c>
      <c r="B7" s="5" t="str">
        <f>'Cq and Delta Cq'!B4</f>
        <v>OM3-001_30 min</v>
      </c>
      <c r="C7" s="6" t="str">
        <f>IF(OR(AND('Cq and Delta Cq'!C4&gt;'VITA Index summary'!$O$15,'Cq and Delta Cq'!C4&lt;'VITA Index summary'!$O$16),AND('Cq and Delta Cq'!D4&gt;'VITA Index summary'!$O$21,'Cq and Delta Cq'!D4&lt;'VITA Index summary'!$O$22)),"CT detected", "CT not detected")</f>
        <v>CT not detected</v>
      </c>
      <c r="D7" s="58" t="str" cm="1">
        <f t="array" ref="D7">IFERROR(_xlfn.IFS(C7="CT not detected","N/A",'Cq and Delta Cq'!C4&gt;'VITA Index summary'!$T$16,"Indeterminate",'Cq and Delta Cq'!D4&gt;'VITA Index summary'!$T$22,"Indeterminate",'Cq and Delta Cq'!C4&lt;'VITA Index summary'!$T$16,2^('Cq and Delta Cq'!I4)/2,'Cq and Delta Cq'!D4&lt;'VITA Index summary'!$T$22,2^('Cq and Delta Cq'!I4)/2),"Indeterminate")</f>
        <v>N/A</v>
      </c>
      <c r="E7" s="58">
        <f t="shared" si="0"/>
        <v>1.57</v>
      </c>
      <c r="F7" s="6" t="str">
        <f>IF(OR(AND('Cq and Delta Cq'!F4&gt;'VITA Index summary'!$O$27,'Cq and Delta Cq'!F4&lt;'VITA Index summary'!$O$28),AND('Cq and Delta Cq'!G4&gt;'VITA Index summary'!$O$33,'Cq and Delta Cq'!G4&lt;'VITA Index summary'!$O$34)),"NG detected", "NG not detected")</f>
        <v>NG detected</v>
      </c>
      <c r="G7" s="58" t="str" cm="1">
        <f t="array" ref="G7">IFERROR(_xlfn.IFS(F7="NG not detected","N/A",'Cq and Delta Cq'!F4&gt;'VITA Index summary'!$T$28,"Indeterminate",'Cq and Delta Cq'!G4&gt;'VITA Index summary'!$T$34,"Indeterminate",'Cq and Delta Cq'!F4&lt;'VITA Index summary'!$T$28,2^('Cq and Delta Cq'!J4)/2,'Cq and Delta Cq'!G4&lt;'VITA Index summary'!$T$34,2^('Cq and Delta Cq'!J4)/2),"Indeterminate")</f>
        <v>Indeterminate</v>
      </c>
      <c r="H7" s="56">
        <f t="shared" si="1"/>
        <v>1.46</v>
      </c>
      <c r="I7" s="7" t="str">
        <f>IFERROR(IF(AND('VITA Index summary'!$O$39&lt;'Cq and Delta Cq'!E4,'Cq and Delta Cq'!E4&lt;'VITA Index summary'!$O$40),"EC VALID","EC INVALID"),"EC INVALID")</f>
        <v>EC VALID</v>
      </c>
      <c r="M7" s="11"/>
      <c r="N7" s="17" t="s">
        <v>107</v>
      </c>
      <c r="O7" s="17">
        <v>1.46</v>
      </c>
      <c r="P7" s="13"/>
    </row>
    <row r="8" spans="1:21" x14ac:dyDescent="0.25">
      <c r="A8" s="5" t="str">
        <f>'Cq and Delta Cq'!A5</f>
        <v>A4</v>
      </c>
      <c r="B8" s="5" t="str">
        <f>'Cq and Delta Cq'!B5</f>
        <v>OM3-001_60 min</v>
      </c>
      <c r="C8" s="6" t="str">
        <f>IF(OR(AND('Cq and Delta Cq'!C5&gt;'VITA Index summary'!$O$15,'Cq and Delta Cq'!C5&lt;'VITA Index summary'!$O$16),AND('Cq and Delta Cq'!D5&gt;'VITA Index summary'!$O$21,'Cq and Delta Cq'!D5&lt;'VITA Index summary'!$O$22)),"CT detected", "CT not detected")</f>
        <v>CT not detected</v>
      </c>
      <c r="D8" s="58" t="str" cm="1">
        <f t="array" ref="D8">IFERROR(_xlfn.IFS(C8="CT not detected","N/A",'Cq and Delta Cq'!C5&gt;'VITA Index summary'!$T$16,"Indeterminate",'Cq and Delta Cq'!D5&gt;'VITA Index summary'!$T$22,"Indeterminate",'Cq and Delta Cq'!C5&lt;'VITA Index summary'!$T$16,2^('Cq and Delta Cq'!I5)/2,'Cq and Delta Cq'!D5&lt;'VITA Index summary'!$T$22,2^('Cq and Delta Cq'!I5)/2),"Indeterminate")</f>
        <v>N/A</v>
      </c>
      <c r="E8" s="58">
        <f t="shared" si="0"/>
        <v>1.57</v>
      </c>
      <c r="F8" s="6" t="str">
        <f>IF(OR(AND('Cq and Delta Cq'!F5&gt;'VITA Index summary'!$O$27,'Cq and Delta Cq'!F5&lt;'VITA Index summary'!$O$28),AND('Cq and Delta Cq'!G5&gt;'VITA Index summary'!$O$33,'Cq and Delta Cq'!G5&lt;'VITA Index summary'!$O$34)),"NG detected", "NG not detected")</f>
        <v>NG detected</v>
      </c>
      <c r="G8" s="58" t="str" cm="1">
        <f t="array" ref="G8">IFERROR(_xlfn.IFS(F8="NG not detected","N/A",'Cq and Delta Cq'!F5&gt;'VITA Index summary'!$T$28,"Indeterminate",'Cq and Delta Cq'!G5&gt;'VITA Index summary'!$T$34,"Indeterminate",'Cq and Delta Cq'!F5&lt;'VITA Index summary'!$T$28,2^('Cq and Delta Cq'!J5)/2,'Cq and Delta Cq'!G5&lt;'VITA Index summary'!$T$34,2^('Cq and Delta Cq'!J5)/2),"Indeterminate")</f>
        <v>Indeterminate</v>
      </c>
      <c r="H8" s="56">
        <f t="shared" si="1"/>
        <v>1.46</v>
      </c>
      <c r="I8" s="7" t="str">
        <f>IFERROR(IF(AND('VITA Index summary'!$O$39&lt;'Cq and Delta Cq'!E5,'Cq and Delta Cq'!E5&lt;'VITA Index summary'!$O$40),"EC VALID","EC INVALID"),"EC INVALID")</f>
        <v>EC VALID</v>
      </c>
      <c r="M8" s="11"/>
      <c r="N8" s="17" t="s">
        <v>108</v>
      </c>
      <c r="O8" s="1">
        <v>1.57</v>
      </c>
      <c r="P8" s="13"/>
    </row>
    <row r="9" spans="1:21" ht="15.75" thickBot="1" x14ac:dyDescent="0.3">
      <c r="A9" s="5" t="str">
        <f>'Cq and Delta Cq'!A6</f>
        <v>A5</v>
      </c>
      <c r="B9" s="5" t="str">
        <f>'Cq and Delta Cq'!B6</f>
        <v>OM3-001_120 min</v>
      </c>
      <c r="C9" s="6" t="str">
        <f>IF(OR(AND('Cq and Delta Cq'!C6&gt;'VITA Index summary'!$O$15,'Cq and Delta Cq'!C6&lt;'VITA Index summary'!$O$16),AND('Cq and Delta Cq'!D6&gt;'VITA Index summary'!$O$21,'Cq and Delta Cq'!D6&lt;'VITA Index summary'!$O$22)),"CT detected", "CT not detected")</f>
        <v>CT not detected</v>
      </c>
      <c r="D9" s="58" t="str" cm="1">
        <f t="array" ref="D9">IFERROR(_xlfn.IFS(C9="CT not detected","N/A",'Cq and Delta Cq'!C6&gt;'VITA Index summary'!$T$16,"Indeterminate",'Cq and Delta Cq'!D6&gt;'VITA Index summary'!$T$22,"Indeterminate",'Cq and Delta Cq'!C6&lt;'VITA Index summary'!$T$16,2^('Cq and Delta Cq'!I6)/2,'Cq and Delta Cq'!D6&lt;'VITA Index summary'!$T$22,2^('Cq and Delta Cq'!I6)/2),"Indeterminate")</f>
        <v>N/A</v>
      </c>
      <c r="E9" s="58">
        <f t="shared" si="0"/>
        <v>1.57</v>
      </c>
      <c r="F9" s="6" t="str">
        <f>IF(OR(AND('Cq and Delta Cq'!F6&gt;'VITA Index summary'!$O$27,'Cq and Delta Cq'!F6&lt;'VITA Index summary'!$O$28),AND('Cq and Delta Cq'!G6&gt;'VITA Index summary'!$O$33,'Cq and Delta Cq'!G6&lt;'VITA Index summary'!$O$34)),"NG detected", "NG not detected")</f>
        <v>NG detected</v>
      </c>
      <c r="G9" s="58" cm="1">
        <f t="array" ref="G9">IFERROR(_xlfn.IFS(F9="NG not detected","N/A",'Cq and Delta Cq'!F6&gt;'VITA Index summary'!$T$28,"Indeterminate",'Cq and Delta Cq'!G6&gt;'VITA Index summary'!$T$34,"Indeterminate",'Cq and Delta Cq'!F6&lt;'VITA Index summary'!$T$28,2^('Cq and Delta Cq'!J6)/2,'Cq and Delta Cq'!G6&lt;'VITA Index summary'!$T$34,2^('Cq and Delta Cq'!J6)/2),"Indeterminate")</f>
        <v>4.2128057652898132</v>
      </c>
      <c r="H9" s="56">
        <f t="shared" si="1"/>
        <v>1.46</v>
      </c>
      <c r="I9" s="7" t="str">
        <f>IFERROR(IF(AND('VITA Index summary'!$O$39&lt;'Cq and Delta Cq'!E6,'Cq and Delta Cq'!E6&lt;'VITA Index summary'!$O$40),"EC VALID","EC INVALID"),"EC INVALID")</f>
        <v>EC VALID</v>
      </c>
      <c r="M9" s="14"/>
      <c r="N9" s="15"/>
      <c r="O9" s="15"/>
      <c r="P9" s="16"/>
    </row>
    <row r="10" spans="1:21" x14ac:dyDescent="0.25">
      <c r="A10" s="5" t="str">
        <f>'Cq and Delta Cq'!A7</f>
        <v>A6</v>
      </c>
      <c r="B10" s="5" t="str">
        <f>'Cq and Delta Cq'!B7</f>
        <v>OM3-009_0 min</v>
      </c>
      <c r="C10" s="6" t="str">
        <f>IF(OR(AND('Cq and Delta Cq'!C7&gt;'VITA Index summary'!$O$15,'Cq and Delta Cq'!C7&lt;'VITA Index summary'!$O$16),AND('Cq and Delta Cq'!D7&gt;'VITA Index summary'!$O$21,'Cq and Delta Cq'!D7&lt;'VITA Index summary'!$O$22)),"CT detected", "CT not detected")</f>
        <v>CT not detected</v>
      </c>
      <c r="D10" s="58" t="str" cm="1">
        <f t="array" ref="D10">IFERROR(_xlfn.IFS(C10="CT not detected","N/A",'Cq and Delta Cq'!C7&gt;'VITA Index summary'!$T$16,"Indeterminate",'Cq and Delta Cq'!D7&gt;'VITA Index summary'!$T$22,"Indeterminate",'Cq and Delta Cq'!C7&lt;'VITA Index summary'!$T$16,2^('Cq and Delta Cq'!I7)/2,'Cq and Delta Cq'!D7&lt;'VITA Index summary'!$T$22,2^('Cq and Delta Cq'!I7)/2),"Indeterminate")</f>
        <v>N/A</v>
      </c>
      <c r="E10" s="58">
        <f t="shared" si="0"/>
        <v>1.57</v>
      </c>
      <c r="F10" s="6" t="str">
        <f>IF(OR(AND('Cq and Delta Cq'!F7&gt;'VITA Index summary'!$O$27,'Cq and Delta Cq'!F7&lt;'VITA Index summary'!$O$28),AND('Cq and Delta Cq'!G7&gt;'VITA Index summary'!$O$33,'Cq and Delta Cq'!G7&lt;'VITA Index summary'!$O$34)),"NG detected", "NG not detected")</f>
        <v>NG not detected</v>
      </c>
      <c r="G10" s="58" t="str" cm="1">
        <f t="array" ref="G10">IFERROR(_xlfn.IFS(F10="NG not detected","N/A",'Cq and Delta Cq'!F7&gt;'VITA Index summary'!$T$28,"Indeterminate",'Cq and Delta Cq'!G7&gt;'VITA Index summary'!$T$34,"Indeterminate",'Cq and Delta Cq'!F7&lt;'VITA Index summary'!$T$28,2^('Cq and Delta Cq'!J7)/2,'Cq and Delta Cq'!G7&lt;'VITA Index summary'!$T$34,2^('Cq and Delta Cq'!J7)/2),"Indeterminate")</f>
        <v>N/A</v>
      </c>
      <c r="H10" s="56">
        <f t="shared" si="1"/>
        <v>1.46</v>
      </c>
      <c r="I10" s="7" t="str">
        <f>IFERROR(IF(AND('VITA Index summary'!$O$39&lt;'Cq and Delta Cq'!E7,'Cq and Delta Cq'!E7&lt;'VITA Index summary'!$O$40),"EC VALID","EC INVALID"),"EC INVALID")</f>
        <v>EC VALID</v>
      </c>
    </row>
    <row r="11" spans="1:21" x14ac:dyDescent="0.25">
      <c r="A11" s="5" t="str">
        <f>'Cq and Delta Cq'!A8</f>
        <v>A7</v>
      </c>
      <c r="B11" s="5" t="str">
        <f>'Cq and Delta Cq'!B8</f>
        <v>OM3-009_5 min</v>
      </c>
      <c r="C11" s="6" t="str">
        <f>IF(OR(AND('Cq and Delta Cq'!C8&gt;'VITA Index summary'!$O$15,'Cq and Delta Cq'!C8&lt;'VITA Index summary'!$O$16),AND('Cq and Delta Cq'!D8&gt;'VITA Index summary'!$O$21,'Cq and Delta Cq'!D8&lt;'VITA Index summary'!$O$22)),"CT detected", "CT not detected")</f>
        <v>CT not detected</v>
      </c>
      <c r="D11" s="58" t="str" cm="1">
        <f t="array" ref="D11">IFERROR(_xlfn.IFS(C11="CT not detected","N/A",'Cq and Delta Cq'!C8&gt;'VITA Index summary'!$T$16,"Indeterminate",'Cq and Delta Cq'!D8&gt;'VITA Index summary'!$T$22,"Indeterminate",'Cq and Delta Cq'!C8&lt;'VITA Index summary'!$T$16,2^('Cq and Delta Cq'!I8)/2,'Cq and Delta Cq'!D8&lt;'VITA Index summary'!$T$22,2^('Cq and Delta Cq'!I8)/2),"Indeterminate")</f>
        <v>N/A</v>
      </c>
      <c r="E11" s="58">
        <f t="shared" si="0"/>
        <v>1.57</v>
      </c>
      <c r="F11" s="6" t="str">
        <f>IF(OR(AND('Cq and Delta Cq'!F8&gt;'VITA Index summary'!$O$27,'Cq and Delta Cq'!F8&lt;'VITA Index summary'!$O$28),AND('Cq and Delta Cq'!G8&gt;'VITA Index summary'!$O$33,'Cq and Delta Cq'!G8&lt;'VITA Index summary'!$O$34)),"NG detected", "NG not detected")</f>
        <v>NG not detected</v>
      </c>
      <c r="G11" s="58" t="str" cm="1">
        <f t="array" ref="G11">IFERROR(_xlfn.IFS(F11="NG not detected","N/A",'Cq and Delta Cq'!F8&gt;'VITA Index summary'!$T$28,"Indeterminate",'Cq and Delta Cq'!G8&gt;'VITA Index summary'!$T$34,"Indeterminate",'Cq and Delta Cq'!F8&lt;'VITA Index summary'!$T$28,2^('Cq and Delta Cq'!J8)/2,'Cq and Delta Cq'!G8&lt;'VITA Index summary'!$T$34,2^('Cq and Delta Cq'!J8)/2),"Indeterminate")</f>
        <v>N/A</v>
      </c>
      <c r="H11" s="56">
        <f t="shared" si="1"/>
        <v>1.46</v>
      </c>
      <c r="I11" s="7" t="str">
        <f>IFERROR(IF(AND('VITA Index summary'!$O$39&lt;'Cq and Delta Cq'!E8,'Cq and Delta Cq'!E8&lt;'VITA Index summary'!$O$40),"EC VALID","EC INVALID"),"EC INVALID")</f>
        <v>EC VALID</v>
      </c>
    </row>
    <row r="12" spans="1:21" ht="15.75" thickBot="1" x14ac:dyDescent="0.3">
      <c r="A12" s="5" t="str">
        <f>'Cq and Delta Cq'!A9</f>
        <v>A8</v>
      </c>
      <c r="B12" s="5" t="str">
        <f>'Cq and Delta Cq'!B9</f>
        <v>OM3-009_30 min</v>
      </c>
      <c r="C12" s="6" t="str">
        <f>IF(OR(AND('Cq and Delta Cq'!C9&gt;'VITA Index summary'!$O$15,'Cq and Delta Cq'!C9&lt;'VITA Index summary'!$O$16),AND('Cq and Delta Cq'!D9&gt;'VITA Index summary'!$O$21,'Cq and Delta Cq'!D9&lt;'VITA Index summary'!$O$22)),"CT detected", "CT not detected")</f>
        <v>CT not detected</v>
      </c>
      <c r="D12" s="58" t="str" cm="1">
        <f t="array" ref="D12">IFERROR(_xlfn.IFS(C12="CT not detected","N/A",'Cq and Delta Cq'!C9&gt;'VITA Index summary'!$T$16,"Indeterminate",'Cq and Delta Cq'!D9&gt;'VITA Index summary'!$T$22,"Indeterminate",'Cq and Delta Cq'!C9&lt;'VITA Index summary'!$T$16,2^('Cq and Delta Cq'!I9)/2,'Cq and Delta Cq'!D9&lt;'VITA Index summary'!$T$22,2^('Cq and Delta Cq'!I9)/2),"Indeterminate")</f>
        <v>N/A</v>
      </c>
      <c r="E12" s="58">
        <f t="shared" si="0"/>
        <v>1.57</v>
      </c>
      <c r="F12" s="6" t="str">
        <f>IF(OR(AND('Cq and Delta Cq'!F9&gt;'VITA Index summary'!$O$27,'Cq and Delta Cq'!F9&lt;'VITA Index summary'!$O$28),AND('Cq and Delta Cq'!G9&gt;'VITA Index summary'!$O$33,'Cq and Delta Cq'!G9&lt;'VITA Index summary'!$O$34)),"NG detected", "NG not detected")</f>
        <v>NG detected</v>
      </c>
      <c r="G12" s="58" t="str" cm="1">
        <f t="array" ref="G12">IFERROR(_xlfn.IFS(F12="NG not detected","N/A",'Cq and Delta Cq'!F9&gt;'VITA Index summary'!$T$28,"Indeterminate",'Cq and Delta Cq'!G9&gt;'VITA Index summary'!$T$34,"Indeterminate",'Cq and Delta Cq'!F9&lt;'VITA Index summary'!$T$28,2^('Cq and Delta Cq'!J9)/2,'Cq and Delta Cq'!G9&lt;'VITA Index summary'!$T$34,2^('Cq and Delta Cq'!J9)/2),"Indeterminate")</f>
        <v>Indeterminate</v>
      </c>
      <c r="H12" s="56">
        <f t="shared" si="1"/>
        <v>1.46</v>
      </c>
      <c r="I12" s="7" t="str">
        <f>IFERROR(IF(AND('VITA Index summary'!$O$39&lt;'Cq and Delta Cq'!E9,'Cq and Delta Cq'!E9&lt;'VITA Index summary'!$O$40),"EC VALID","EC INVALID"),"EC INVALID")</f>
        <v>EC VALID</v>
      </c>
    </row>
    <row r="13" spans="1:21" x14ac:dyDescent="0.25">
      <c r="A13" s="5" t="str">
        <f>'Cq and Delta Cq'!A10</f>
        <v>A9</v>
      </c>
      <c r="B13" s="5" t="str">
        <f>'Cq and Delta Cq'!B10</f>
        <v>OM3-009_60 min</v>
      </c>
      <c r="C13" s="6" t="str">
        <f>IF(OR(AND('Cq and Delta Cq'!C10&gt;'VITA Index summary'!$O$15,'Cq and Delta Cq'!C10&lt;'VITA Index summary'!$O$16),AND('Cq and Delta Cq'!D10&gt;'VITA Index summary'!$O$21,'Cq and Delta Cq'!D10&lt;'VITA Index summary'!$O$22)),"CT detected", "CT not detected")</f>
        <v>CT not detected</v>
      </c>
      <c r="D13" s="58" t="str" cm="1">
        <f t="array" ref="D13">IFERROR(_xlfn.IFS(C13="CT not detected","N/A",'Cq and Delta Cq'!C10&gt;'VITA Index summary'!$T$16,"Indeterminate",'Cq and Delta Cq'!D10&gt;'VITA Index summary'!$T$22,"Indeterminate",'Cq and Delta Cq'!C10&lt;'VITA Index summary'!$T$16,2^('Cq and Delta Cq'!I10)/2,'Cq and Delta Cq'!D10&lt;'VITA Index summary'!$T$22,2^('Cq and Delta Cq'!I10)/2),"Indeterminate")</f>
        <v>N/A</v>
      </c>
      <c r="E13" s="58">
        <f t="shared" si="0"/>
        <v>1.57</v>
      </c>
      <c r="F13" s="6" t="str">
        <f>IF(OR(AND('Cq and Delta Cq'!F10&gt;'VITA Index summary'!$O$27,'Cq and Delta Cq'!F10&lt;'VITA Index summary'!$O$28),AND('Cq and Delta Cq'!G10&gt;'VITA Index summary'!$O$33,'Cq and Delta Cq'!G10&lt;'VITA Index summary'!$O$34)),"NG detected", "NG not detected")</f>
        <v>NG not detected</v>
      </c>
      <c r="G13" s="58" t="str" cm="1">
        <f t="array" ref="G13">IFERROR(_xlfn.IFS(F13="NG not detected","N/A",'Cq and Delta Cq'!F10&gt;'VITA Index summary'!$T$28,"Indeterminate",'Cq and Delta Cq'!G10&gt;'VITA Index summary'!$T$34,"Indeterminate",'Cq and Delta Cq'!F10&lt;'VITA Index summary'!$T$28,2^('Cq and Delta Cq'!J10)/2,'Cq and Delta Cq'!G10&lt;'VITA Index summary'!$T$34,2^('Cq and Delta Cq'!J10)/2),"Indeterminate")</f>
        <v>N/A</v>
      </c>
      <c r="H13" s="56">
        <f t="shared" si="1"/>
        <v>1.46</v>
      </c>
      <c r="I13" s="7" t="str">
        <f>IFERROR(IF(AND('VITA Index summary'!$O$39&lt;'Cq and Delta Cq'!E10,'Cq and Delta Cq'!E10&lt;'VITA Index summary'!$O$40),"EC VALID","EC INVALID"),"EC INVALID")</f>
        <v>EC VALID</v>
      </c>
      <c r="M13" s="8"/>
      <c r="N13" s="9"/>
      <c r="O13" s="9"/>
      <c r="P13" s="10"/>
      <c r="R13" s="8"/>
      <c r="S13" s="9"/>
      <c r="T13" s="9"/>
      <c r="U13" s="10"/>
    </row>
    <row r="14" spans="1:21" x14ac:dyDescent="0.25">
      <c r="A14" s="5" t="str">
        <f>'Cq and Delta Cq'!A11</f>
        <v>A10</v>
      </c>
      <c r="B14" s="5" t="str">
        <f>'Cq and Delta Cq'!B11</f>
        <v>OM3-009_120 min</v>
      </c>
      <c r="C14" s="6" t="str">
        <f>IF(OR(AND('Cq and Delta Cq'!C11&gt;'VITA Index summary'!$O$15,'Cq and Delta Cq'!C11&lt;'VITA Index summary'!$O$16),AND('Cq and Delta Cq'!D11&gt;'VITA Index summary'!$O$21,'Cq and Delta Cq'!D11&lt;'VITA Index summary'!$O$22)),"CT detected", "CT not detected")</f>
        <v>CT not detected</v>
      </c>
      <c r="D14" s="58" t="str" cm="1">
        <f t="array" ref="D14">IFERROR(_xlfn.IFS(C14="CT not detected","N/A",'Cq and Delta Cq'!C11&gt;'VITA Index summary'!$T$16,"Indeterminate",'Cq and Delta Cq'!D11&gt;'VITA Index summary'!$T$22,"Indeterminate",'Cq and Delta Cq'!C11&lt;'VITA Index summary'!$T$16,2^('Cq and Delta Cq'!I11)/2,'Cq and Delta Cq'!D11&lt;'VITA Index summary'!$T$22,2^('Cq and Delta Cq'!I11)/2),"Indeterminate")</f>
        <v>N/A</v>
      </c>
      <c r="E14" s="58">
        <f t="shared" si="0"/>
        <v>1.57</v>
      </c>
      <c r="F14" s="6" t="str">
        <f>IF(OR(AND('Cq and Delta Cq'!F11&gt;'VITA Index summary'!$O$27,'Cq and Delta Cq'!F11&lt;'VITA Index summary'!$O$28),AND('Cq and Delta Cq'!G11&gt;'VITA Index summary'!$O$33,'Cq and Delta Cq'!G11&lt;'VITA Index summary'!$O$34)),"NG detected", "NG not detected")</f>
        <v>NG detected</v>
      </c>
      <c r="G14" s="58" cm="1">
        <f t="array" ref="G14">IFERROR(_xlfn.IFS(F14="NG not detected","N/A",'Cq and Delta Cq'!F11&gt;'VITA Index summary'!$T$28,"Indeterminate",'Cq and Delta Cq'!G11&gt;'VITA Index summary'!$T$34,"Indeterminate",'Cq and Delta Cq'!F11&lt;'VITA Index summary'!$T$28,2^('Cq and Delta Cq'!J11)/2,'Cq and Delta Cq'!G11&lt;'VITA Index summary'!$T$34,2^('Cq and Delta Cq'!J11)/2),"Indeterminate")</f>
        <v>1.6620948108831148</v>
      </c>
      <c r="H14" s="56">
        <f t="shared" si="1"/>
        <v>1.46</v>
      </c>
      <c r="I14" s="7" t="str">
        <f>IFERROR(IF(AND('VITA Index summary'!$O$39&lt;'Cq and Delta Cq'!E11,'Cq and Delta Cq'!E11&lt;'VITA Index summary'!$O$40),"EC VALID","EC INVALID"),"EC INVALID")</f>
        <v>EC VALID</v>
      </c>
      <c r="M14" s="11"/>
      <c r="N14" s="12" t="s">
        <v>119</v>
      </c>
      <c r="P14" s="13"/>
      <c r="R14" s="11"/>
      <c r="S14" s="12" t="s">
        <v>123</v>
      </c>
      <c r="U14" s="13"/>
    </row>
    <row r="15" spans="1:21" x14ac:dyDescent="0.25">
      <c r="A15" s="5" t="str">
        <f>'Cq and Delta Cq'!A12</f>
        <v>A12</v>
      </c>
      <c r="B15" s="5" t="str">
        <f>'Cq and Delta Cq'!B12</f>
        <v>NEG</v>
      </c>
      <c r="C15" s="6" t="str">
        <f>IF(OR(AND('Cq and Delta Cq'!C12&gt;'VITA Index summary'!$O$15,'Cq and Delta Cq'!C12&lt;'VITA Index summary'!$O$16),AND('Cq and Delta Cq'!D12&gt;'VITA Index summary'!$O$21,'Cq and Delta Cq'!D12&lt;'VITA Index summary'!$O$22)),"CT detected", "CT not detected")</f>
        <v>CT not detected</v>
      </c>
      <c r="D15" s="58" t="str" cm="1">
        <f t="array" ref="D15">IFERROR(_xlfn.IFS(C15="CT not detected","N/A",'Cq and Delta Cq'!C12&gt;'VITA Index summary'!$T$16,"Indeterminate",'Cq and Delta Cq'!D12&gt;'VITA Index summary'!$T$22,"Indeterminate",'Cq and Delta Cq'!C12&lt;'VITA Index summary'!$T$16,2^('Cq and Delta Cq'!I12)/2,'Cq and Delta Cq'!D12&lt;'VITA Index summary'!$T$22,2^('Cq and Delta Cq'!I12)/2),"Indeterminate")</f>
        <v>N/A</v>
      </c>
      <c r="E15" s="58">
        <f t="shared" si="0"/>
        <v>1.57</v>
      </c>
      <c r="F15" s="6" t="str">
        <f>IF(OR(AND('Cq and Delta Cq'!F12&gt;'VITA Index summary'!$O$27,'Cq and Delta Cq'!F12&lt;'VITA Index summary'!$O$28),AND('Cq and Delta Cq'!G12&gt;'VITA Index summary'!$O$33,'Cq and Delta Cq'!G12&lt;'VITA Index summary'!$O$34)),"NG detected", "NG not detected")</f>
        <v>NG not detected</v>
      </c>
      <c r="G15" s="58" t="str" cm="1">
        <f t="array" ref="G15">IFERROR(_xlfn.IFS(F15="NG not detected","N/A",'Cq and Delta Cq'!F12&gt;'VITA Index summary'!$T$28,"Indeterminate",'Cq and Delta Cq'!G12&gt;'VITA Index summary'!$T$34,"Indeterminate",'Cq and Delta Cq'!F12&lt;'VITA Index summary'!$T$28,2^('Cq and Delta Cq'!J12)/2,'Cq and Delta Cq'!G12&lt;'VITA Index summary'!$T$34,2^('Cq and Delta Cq'!J12)/2),"Indeterminate")</f>
        <v>N/A</v>
      </c>
      <c r="H15" s="56">
        <f t="shared" si="1"/>
        <v>1.46</v>
      </c>
      <c r="I15" s="7" t="str">
        <f>IFERROR(IF(AND('VITA Index summary'!$O$39&lt;'Cq and Delta Cq'!E12,'Cq and Delta Cq'!E12&lt;'VITA Index summary'!$O$40),"EC VALID","EC INVALID"),"EC INVALID")</f>
        <v>EC INVALID</v>
      </c>
      <c r="M15" s="11"/>
      <c r="N15" s="17" t="s">
        <v>2</v>
      </c>
      <c r="O15" s="1">
        <v>0</v>
      </c>
      <c r="P15" s="13"/>
      <c r="R15" s="11"/>
      <c r="S15" s="17" t="s">
        <v>2</v>
      </c>
      <c r="T15" s="1">
        <v>0</v>
      </c>
      <c r="U15" s="13"/>
    </row>
    <row r="16" spans="1:21" x14ac:dyDescent="0.25">
      <c r="A16" s="5" t="str">
        <f>'Cq and Delta Cq'!A13</f>
        <v>B1</v>
      </c>
      <c r="B16" s="5" t="str">
        <f>'Cq and Delta Cq'!B13</f>
        <v>OM3-002_0 min</v>
      </c>
      <c r="C16" s="6" t="str">
        <f>IF(OR(AND('Cq and Delta Cq'!C13&gt;'VITA Index summary'!$O$15,'Cq and Delta Cq'!C13&lt;'VITA Index summary'!$O$16),AND('Cq and Delta Cq'!D13&gt;'VITA Index summary'!$O$21,'Cq and Delta Cq'!D13&lt;'VITA Index summary'!$O$22)),"CT detected", "CT not detected")</f>
        <v>CT not detected</v>
      </c>
      <c r="D16" s="58" t="str" cm="1">
        <f t="array" ref="D16">IFERROR(_xlfn.IFS(C16="CT not detected","N/A",'Cq and Delta Cq'!C13&gt;'VITA Index summary'!$T$16,"Indeterminate",'Cq and Delta Cq'!D13&gt;'VITA Index summary'!$T$22,"Indeterminate",'Cq and Delta Cq'!C13&lt;'VITA Index summary'!$T$16,2^('Cq and Delta Cq'!I13)/2,'Cq and Delta Cq'!D13&lt;'VITA Index summary'!$T$22,2^('Cq and Delta Cq'!I13)/2),"Indeterminate")</f>
        <v>N/A</v>
      </c>
      <c r="E16" s="58">
        <f t="shared" si="0"/>
        <v>1.57</v>
      </c>
      <c r="F16" s="6" t="str">
        <f>IF(OR(AND('Cq and Delta Cq'!F13&gt;'VITA Index summary'!$O$27,'Cq and Delta Cq'!F13&lt;'VITA Index summary'!$O$28),AND('Cq and Delta Cq'!G13&gt;'VITA Index summary'!$O$33,'Cq and Delta Cq'!G13&lt;'VITA Index summary'!$O$34)),"NG detected", "NG not detected")</f>
        <v>NG detected</v>
      </c>
      <c r="G16" s="58" cm="1">
        <f t="array" ref="G16">IFERROR(_xlfn.IFS(F16="NG not detected","N/A",'Cq and Delta Cq'!F13&gt;'VITA Index summary'!$T$28,"Indeterminate",'Cq and Delta Cq'!G13&gt;'VITA Index summary'!$T$34,"Indeterminate",'Cq and Delta Cq'!F13&lt;'VITA Index summary'!$T$28,2^('Cq and Delta Cq'!J13)/2,'Cq and Delta Cq'!G13&lt;'VITA Index summary'!$T$34,2^('Cq and Delta Cq'!J13)/2),"Indeterminate")</f>
        <v>1.1562312618833275</v>
      </c>
      <c r="H16" s="56">
        <f t="shared" si="1"/>
        <v>1.46</v>
      </c>
      <c r="I16" s="7" t="str">
        <f>IFERROR(IF(AND('VITA Index summary'!$O$39&lt;'Cq and Delta Cq'!E13,'Cq and Delta Cq'!E13&lt;'VITA Index summary'!$O$40),"EC VALID","EC INVALID"),"EC INVALID")</f>
        <v>EC VALID</v>
      </c>
      <c r="M16" s="11"/>
      <c r="N16" s="17" t="s">
        <v>3</v>
      </c>
      <c r="O16" s="1">
        <f>42.1-5</f>
        <v>37.1</v>
      </c>
      <c r="P16" s="13"/>
      <c r="R16" s="11"/>
      <c r="S16" s="17" t="s">
        <v>3</v>
      </c>
      <c r="T16" s="1">
        <f>34.7-5</f>
        <v>29.700000000000003</v>
      </c>
      <c r="U16" s="13"/>
    </row>
    <row r="17" spans="1:21" ht="15.75" thickBot="1" x14ac:dyDescent="0.3">
      <c r="A17" s="5" t="str">
        <f>'Cq and Delta Cq'!A14</f>
        <v>B2</v>
      </c>
      <c r="B17" s="5" t="str">
        <f>'Cq and Delta Cq'!B14</f>
        <v>OM3-002_5 min</v>
      </c>
      <c r="C17" s="6" t="str">
        <f>IF(OR(AND('Cq and Delta Cq'!C14&gt;'VITA Index summary'!$O$15,'Cq and Delta Cq'!C14&lt;'VITA Index summary'!$O$16),AND('Cq and Delta Cq'!D14&gt;'VITA Index summary'!$O$21,'Cq and Delta Cq'!D14&lt;'VITA Index summary'!$O$22)),"CT detected", "CT not detected")</f>
        <v>CT not detected</v>
      </c>
      <c r="D17" s="58" t="str" cm="1">
        <f t="array" ref="D17">IFERROR(_xlfn.IFS(C17="CT not detected","N/A",'Cq and Delta Cq'!C14&gt;'VITA Index summary'!$T$16,"Indeterminate",'Cq and Delta Cq'!D14&gt;'VITA Index summary'!$T$22,"Indeterminate",'Cq and Delta Cq'!C14&lt;'VITA Index summary'!$T$16,2^('Cq and Delta Cq'!I14)/2,'Cq and Delta Cq'!D14&lt;'VITA Index summary'!$T$22,2^('Cq and Delta Cq'!I14)/2),"Indeterminate")</f>
        <v>N/A</v>
      </c>
      <c r="E17" s="58">
        <f t="shared" si="0"/>
        <v>1.57</v>
      </c>
      <c r="F17" s="6" t="str">
        <f>IF(OR(AND('Cq and Delta Cq'!F14&gt;'VITA Index summary'!$O$27,'Cq and Delta Cq'!F14&lt;'VITA Index summary'!$O$28),AND('Cq and Delta Cq'!G14&gt;'VITA Index summary'!$O$33,'Cq and Delta Cq'!G14&lt;'VITA Index summary'!$O$34)),"NG detected", "NG not detected")</f>
        <v>NG detected</v>
      </c>
      <c r="G17" s="58" cm="1">
        <f t="array" ref="G17">IFERROR(_xlfn.IFS(F17="NG not detected","N/A",'Cq and Delta Cq'!F14&gt;'VITA Index summary'!$T$28,"Indeterminate",'Cq and Delta Cq'!G14&gt;'VITA Index summary'!$T$34,"Indeterminate",'Cq and Delta Cq'!F14&lt;'VITA Index summary'!$T$28,2^('Cq and Delta Cq'!J14)/2,'Cq and Delta Cq'!G14&lt;'VITA Index summary'!$T$34,2^('Cq and Delta Cq'!J14)/2),"Indeterminate")</f>
        <v>2.0806875779985741</v>
      </c>
      <c r="H17" s="56">
        <f t="shared" si="1"/>
        <v>1.46</v>
      </c>
      <c r="I17" s="7" t="str">
        <f>IFERROR(IF(AND('VITA Index summary'!$O$39&lt;'Cq and Delta Cq'!E14,'Cq and Delta Cq'!E14&lt;'VITA Index summary'!$O$40),"EC VALID","EC INVALID"),"EC INVALID")</f>
        <v>EC VALID</v>
      </c>
      <c r="M17" s="14"/>
      <c r="N17" s="15"/>
      <c r="O17" s="15"/>
      <c r="P17" s="16"/>
      <c r="R17" s="14"/>
      <c r="S17" s="15"/>
      <c r="T17" s="15"/>
      <c r="U17" s="16"/>
    </row>
    <row r="18" spans="1:21" ht="15.75" thickBot="1" x14ac:dyDescent="0.3">
      <c r="A18" s="5" t="str">
        <f>'Cq and Delta Cq'!A15</f>
        <v>B3</v>
      </c>
      <c r="B18" s="5" t="str">
        <f>'Cq and Delta Cq'!B15</f>
        <v>OM3-002_30 min</v>
      </c>
      <c r="C18" s="6" t="str">
        <f>IF(OR(AND('Cq and Delta Cq'!C15&gt;'VITA Index summary'!$O$15,'Cq and Delta Cq'!C15&lt;'VITA Index summary'!$O$16),AND('Cq and Delta Cq'!D15&gt;'VITA Index summary'!$O$21,'Cq and Delta Cq'!D15&lt;'VITA Index summary'!$O$22)),"CT detected", "CT not detected")</f>
        <v>CT not detected</v>
      </c>
      <c r="D18" s="58" t="str" cm="1">
        <f t="array" ref="D18">IFERROR(_xlfn.IFS(C18="CT not detected","N/A",'Cq and Delta Cq'!C15&gt;'VITA Index summary'!$T$16,"Indeterminate",'Cq and Delta Cq'!D15&gt;'VITA Index summary'!$T$22,"Indeterminate",'Cq and Delta Cq'!C15&lt;'VITA Index summary'!$T$16,2^('Cq and Delta Cq'!I15)/2,'Cq and Delta Cq'!D15&lt;'VITA Index summary'!$T$22,2^('Cq and Delta Cq'!I15)/2),"Indeterminate")</f>
        <v>N/A</v>
      </c>
      <c r="E18" s="58">
        <f t="shared" si="0"/>
        <v>1.57</v>
      </c>
      <c r="F18" s="6" t="str">
        <f>IF(OR(AND('Cq and Delta Cq'!F15&gt;'VITA Index summary'!$O$27,'Cq and Delta Cq'!F15&lt;'VITA Index summary'!$O$28),AND('Cq and Delta Cq'!G15&gt;'VITA Index summary'!$O$33,'Cq and Delta Cq'!G15&lt;'VITA Index summary'!$O$34)),"NG detected", "NG not detected")</f>
        <v>NG detected</v>
      </c>
      <c r="G18" s="58" cm="1">
        <f t="array" ref="G18">IFERROR(_xlfn.IFS(F18="NG not detected","N/A",'Cq and Delta Cq'!F15&gt;'VITA Index summary'!$T$28,"Indeterminate",'Cq and Delta Cq'!G15&gt;'VITA Index summary'!$T$34,"Indeterminate",'Cq and Delta Cq'!F15&lt;'VITA Index summary'!$T$28,2^('Cq and Delta Cq'!J15)/2,'Cq and Delta Cq'!G15&lt;'VITA Index summary'!$T$34,2^('Cq and Delta Cq'!J15)/2),"Indeterminate")</f>
        <v>2.9827336939104847</v>
      </c>
      <c r="H18" s="56">
        <f t="shared" si="1"/>
        <v>1.46</v>
      </c>
      <c r="I18" s="7" t="str">
        <f>IFERROR(IF(AND('VITA Index summary'!$O$39&lt;'Cq and Delta Cq'!E15,'Cq and Delta Cq'!E15&lt;'VITA Index summary'!$O$40),"EC VALID","EC INVALID"),"EC INVALID")</f>
        <v>EC VALID</v>
      </c>
    </row>
    <row r="19" spans="1:21" x14ac:dyDescent="0.25">
      <c r="A19" s="5" t="str">
        <f>'Cq and Delta Cq'!A16</f>
        <v>B4</v>
      </c>
      <c r="B19" s="5" t="str">
        <f>'Cq and Delta Cq'!B16</f>
        <v>OM3-002_60 min</v>
      </c>
      <c r="C19" s="6" t="str">
        <f>IF(OR(AND('Cq and Delta Cq'!C16&gt;'VITA Index summary'!$O$15,'Cq and Delta Cq'!C16&lt;'VITA Index summary'!$O$16),AND('Cq and Delta Cq'!D16&gt;'VITA Index summary'!$O$21,'Cq and Delta Cq'!D16&lt;'VITA Index summary'!$O$22)),"CT detected", "CT not detected")</f>
        <v>CT not detected</v>
      </c>
      <c r="D19" s="58" t="str" cm="1">
        <f t="array" ref="D19">IFERROR(_xlfn.IFS(C19="CT not detected","N/A",'Cq and Delta Cq'!C16&gt;'VITA Index summary'!$T$16,"Indeterminate",'Cq and Delta Cq'!D16&gt;'VITA Index summary'!$T$22,"Indeterminate",'Cq and Delta Cq'!C16&lt;'VITA Index summary'!$T$16,2^('Cq and Delta Cq'!I16)/2,'Cq and Delta Cq'!D16&lt;'VITA Index summary'!$T$22,2^('Cq and Delta Cq'!I16)/2),"Indeterminate")</f>
        <v>N/A</v>
      </c>
      <c r="E19" s="58">
        <f t="shared" si="0"/>
        <v>1.57</v>
      </c>
      <c r="F19" s="6" t="str">
        <f>IF(OR(AND('Cq and Delta Cq'!F16&gt;'VITA Index summary'!$O$27,'Cq and Delta Cq'!F16&lt;'VITA Index summary'!$O$28),AND('Cq and Delta Cq'!G16&gt;'VITA Index summary'!$O$33,'Cq and Delta Cq'!G16&lt;'VITA Index summary'!$O$34)),"NG detected", "NG not detected")</f>
        <v>NG detected</v>
      </c>
      <c r="G19" s="58" cm="1">
        <f t="array" ref="G19">IFERROR(_xlfn.IFS(F19="NG not detected","N/A",'Cq and Delta Cq'!F16&gt;'VITA Index summary'!$T$28,"Indeterminate",'Cq and Delta Cq'!G16&gt;'VITA Index summary'!$T$34,"Indeterminate",'Cq and Delta Cq'!F16&lt;'VITA Index summary'!$T$28,2^('Cq and Delta Cq'!J16)/2,'Cq and Delta Cq'!G16&lt;'VITA Index summary'!$T$34,2^('Cq and Delta Cq'!J16)/2),"Indeterminate")</f>
        <v>2.3351335937474835</v>
      </c>
      <c r="H19" s="56">
        <f t="shared" si="1"/>
        <v>1.46</v>
      </c>
      <c r="I19" s="7" t="str">
        <f>IFERROR(IF(AND('VITA Index summary'!$O$39&lt;'Cq and Delta Cq'!E16,'Cq and Delta Cq'!E16&lt;'VITA Index summary'!$O$40),"EC VALID","EC INVALID"),"EC INVALID")</f>
        <v>EC VALID</v>
      </c>
      <c r="M19" s="8"/>
      <c r="N19" s="9"/>
      <c r="O19" s="9"/>
      <c r="P19" s="10"/>
      <c r="R19" s="8"/>
      <c r="S19" s="9"/>
      <c r="T19" s="9"/>
      <c r="U19" s="10"/>
    </row>
    <row r="20" spans="1:21" x14ac:dyDescent="0.25">
      <c r="A20" s="5" t="str">
        <f>'Cq and Delta Cq'!A17</f>
        <v>B5</v>
      </c>
      <c r="B20" s="5" t="str">
        <f>'Cq and Delta Cq'!B17</f>
        <v>OM3-002_120 min</v>
      </c>
      <c r="C20" s="6" t="str">
        <f>IF(OR(AND('Cq and Delta Cq'!C17&gt;'VITA Index summary'!$O$15,'Cq and Delta Cq'!C17&lt;'VITA Index summary'!$O$16),AND('Cq and Delta Cq'!D17&gt;'VITA Index summary'!$O$21,'Cq and Delta Cq'!D17&lt;'VITA Index summary'!$O$22)),"CT detected", "CT not detected")</f>
        <v>CT not detected</v>
      </c>
      <c r="D20" s="58" t="str" cm="1">
        <f t="array" ref="D20">IFERROR(_xlfn.IFS(C20="CT not detected","N/A",'Cq and Delta Cq'!C17&gt;'VITA Index summary'!$T$16,"Indeterminate",'Cq and Delta Cq'!D17&gt;'VITA Index summary'!$T$22,"Indeterminate",'Cq and Delta Cq'!C17&lt;'VITA Index summary'!$T$16,2^('Cq and Delta Cq'!I17)/2,'Cq and Delta Cq'!D17&lt;'VITA Index summary'!$T$22,2^('Cq and Delta Cq'!I17)/2),"Indeterminate")</f>
        <v>N/A</v>
      </c>
      <c r="E20" s="58">
        <f t="shared" si="0"/>
        <v>1.57</v>
      </c>
      <c r="F20" s="6" t="str">
        <f>IF(OR(AND('Cq and Delta Cq'!F17&gt;'VITA Index summary'!$O$27,'Cq and Delta Cq'!F17&lt;'VITA Index summary'!$O$28),AND('Cq and Delta Cq'!G17&gt;'VITA Index summary'!$O$33,'Cq and Delta Cq'!G17&lt;'VITA Index summary'!$O$34)),"NG detected", "NG not detected")</f>
        <v>NG detected</v>
      </c>
      <c r="G20" s="58" cm="1">
        <f t="array" ref="G20">IFERROR(_xlfn.IFS(F20="NG not detected","N/A",'Cq and Delta Cq'!F17&gt;'VITA Index summary'!$T$28,"Indeterminate",'Cq and Delta Cq'!G17&gt;'VITA Index summary'!$T$34,"Indeterminate",'Cq and Delta Cq'!F17&lt;'VITA Index summary'!$T$28,2^('Cq and Delta Cq'!J17)/2,'Cq and Delta Cq'!G17&lt;'VITA Index summary'!$T$34,2^('Cq and Delta Cq'!J17)/2),"Indeterminate")</f>
        <v>2.9164826008325484</v>
      </c>
      <c r="H20" s="56">
        <f t="shared" si="1"/>
        <v>1.46</v>
      </c>
      <c r="I20" s="7" t="str">
        <f>IFERROR(IF(AND('VITA Index summary'!$O$39&lt;'Cq and Delta Cq'!E17,'Cq and Delta Cq'!E17&lt;'VITA Index summary'!$O$40),"EC VALID","EC INVALID"),"EC INVALID")</f>
        <v>EC VALID</v>
      </c>
      <c r="M20" s="11"/>
      <c r="N20" s="12" t="s">
        <v>120</v>
      </c>
      <c r="P20" s="13"/>
      <c r="R20" s="11"/>
      <c r="S20" s="12" t="s">
        <v>124</v>
      </c>
      <c r="U20" s="13"/>
    </row>
    <row r="21" spans="1:21" x14ac:dyDescent="0.25">
      <c r="A21" s="5" t="str">
        <f>'Cq and Delta Cq'!A18</f>
        <v>B6</v>
      </c>
      <c r="B21" s="5" t="str">
        <f>'Cq and Delta Cq'!B18</f>
        <v>OM3-010_0 min</v>
      </c>
      <c r="C21" s="6" t="str">
        <f>IF(OR(AND('Cq and Delta Cq'!C18&gt;'VITA Index summary'!$O$15,'Cq and Delta Cq'!C18&lt;'VITA Index summary'!$O$16),AND('Cq and Delta Cq'!D18&gt;'VITA Index summary'!$O$21,'Cq and Delta Cq'!D18&lt;'VITA Index summary'!$O$22)),"CT detected", "CT not detected")</f>
        <v>CT not detected</v>
      </c>
      <c r="D21" s="58" t="str" cm="1">
        <f t="array" ref="D21">IFERROR(_xlfn.IFS(C21="CT not detected","N/A",'Cq and Delta Cq'!C18&gt;'VITA Index summary'!$T$16,"Indeterminate",'Cq and Delta Cq'!D18&gt;'VITA Index summary'!$T$22,"Indeterminate",'Cq and Delta Cq'!C18&lt;'VITA Index summary'!$T$16,2^('Cq and Delta Cq'!I18)/2,'Cq and Delta Cq'!D18&lt;'VITA Index summary'!$T$22,2^('Cq and Delta Cq'!I18)/2),"Indeterminate")</f>
        <v>N/A</v>
      </c>
      <c r="E21" s="58">
        <f t="shared" si="0"/>
        <v>1.57</v>
      </c>
      <c r="F21" s="6" t="str">
        <f>IF(OR(AND('Cq and Delta Cq'!F18&gt;'VITA Index summary'!$O$27,'Cq and Delta Cq'!F18&lt;'VITA Index summary'!$O$28),AND('Cq and Delta Cq'!G18&gt;'VITA Index summary'!$O$33,'Cq and Delta Cq'!G18&lt;'VITA Index summary'!$O$34)),"NG detected", "NG not detected")</f>
        <v>NG detected</v>
      </c>
      <c r="G21" s="58" t="str" cm="1">
        <f t="array" ref="G21">IFERROR(_xlfn.IFS(F21="NG not detected","N/A",'Cq and Delta Cq'!F18&gt;'VITA Index summary'!$T$28,"Indeterminate",'Cq and Delta Cq'!G18&gt;'VITA Index summary'!$T$34,"Indeterminate",'Cq and Delta Cq'!F18&lt;'VITA Index summary'!$T$28,2^('Cq and Delta Cq'!J18)/2,'Cq and Delta Cq'!G18&lt;'VITA Index summary'!$T$34,2^('Cq and Delta Cq'!J18)/2),"Indeterminate")</f>
        <v>Indeterminate</v>
      </c>
      <c r="H21" s="56">
        <f t="shared" si="1"/>
        <v>1.46</v>
      </c>
      <c r="I21" s="7" t="str">
        <f>IFERROR(IF(AND('VITA Index summary'!$O$39&lt;'Cq and Delta Cq'!E18,'Cq and Delta Cq'!E18&lt;'VITA Index summary'!$O$40),"EC VALID","EC INVALID"),"EC INVALID")</f>
        <v>EC VALID</v>
      </c>
      <c r="M21" s="11"/>
      <c r="N21" s="17" t="s">
        <v>2</v>
      </c>
      <c r="O21" s="1">
        <v>0</v>
      </c>
      <c r="P21" s="13"/>
      <c r="R21" s="11"/>
      <c r="S21" s="17" t="s">
        <v>2</v>
      </c>
      <c r="T21" s="1">
        <v>0</v>
      </c>
      <c r="U21" s="13"/>
    </row>
    <row r="22" spans="1:21" x14ac:dyDescent="0.25">
      <c r="A22" s="5" t="str">
        <f>'Cq and Delta Cq'!A19</f>
        <v>B7</v>
      </c>
      <c r="B22" s="5" t="str">
        <f>'Cq and Delta Cq'!B19</f>
        <v>OM3-010_5 min</v>
      </c>
      <c r="C22" s="6" t="str">
        <f>IF(OR(AND('Cq and Delta Cq'!C19&gt;'VITA Index summary'!$O$15,'Cq and Delta Cq'!C19&lt;'VITA Index summary'!$O$16),AND('Cq and Delta Cq'!D19&gt;'VITA Index summary'!$O$21,'Cq and Delta Cq'!D19&lt;'VITA Index summary'!$O$22)),"CT detected", "CT not detected")</f>
        <v>CT not detected</v>
      </c>
      <c r="D22" s="58" t="str" cm="1">
        <f t="array" ref="D22">IFERROR(_xlfn.IFS(C22="CT not detected","N/A",'Cq and Delta Cq'!C19&gt;'VITA Index summary'!$T$16,"Indeterminate",'Cq and Delta Cq'!D19&gt;'VITA Index summary'!$T$22,"Indeterminate",'Cq and Delta Cq'!C19&lt;'VITA Index summary'!$T$16,2^('Cq and Delta Cq'!I19)/2,'Cq and Delta Cq'!D19&lt;'VITA Index summary'!$T$22,2^('Cq and Delta Cq'!I19)/2),"Indeterminate")</f>
        <v>N/A</v>
      </c>
      <c r="E22" s="58">
        <f t="shared" si="0"/>
        <v>1.57</v>
      </c>
      <c r="F22" s="6" t="str">
        <f>IF(OR(AND('Cq and Delta Cq'!F19&gt;'VITA Index summary'!$O$27,'Cq and Delta Cq'!F19&lt;'VITA Index summary'!$O$28),AND('Cq and Delta Cq'!G19&gt;'VITA Index summary'!$O$33,'Cq and Delta Cq'!G19&lt;'VITA Index summary'!$O$34)),"NG detected", "NG not detected")</f>
        <v>NG detected</v>
      </c>
      <c r="G22" s="58" t="str" cm="1">
        <f t="array" ref="G22">IFERROR(_xlfn.IFS(F22="NG not detected","N/A",'Cq and Delta Cq'!F19&gt;'VITA Index summary'!$T$28,"Indeterminate",'Cq and Delta Cq'!G19&gt;'VITA Index summary'!$T$34,"Indeterminate",'Cq and Delta Cq'!F19&lt;'VITA Index summary'!$T$28,2^('Cq and Delta Cq'!J19)/2,'Cq and Delta Cq'!G19&lt;'VITA Index summary'!$T$34,2^('Cq and Delta Cq'!J19)/2),"Indeterminate")</f>
        <v>Indeterminate</v>
      </c>
      <c r="H22" s="56">
        <f t="shared" si="1"/>
        <v>1.46</v>
      </c>
      <c r="I22" s="7" t="str">
        <f>IFERROR(IF(AND('VITA Index summary'!$O$39&lt;'Cq and Delta Cq'!E19,'Cq and Delta Cq'!E19&lt;'VITA Index summary'!$O$40),"EC VALID","EC INVALID"),"EC INVALID")</f>
        <v>EC VALID</v>
      </c>
      <c r="M22" s="11"/>
      <c r="N22" s="17" t="s">
        <v>3</v>
      </c>
      <c r="O22" s="1">
        <f>41.9-5</f>
        <v>36.9</v>
      </c>
      <c r="P22" s="13"/>
      <c r="R22" s="11"/>
      <c r="S22" s="17" t="s">
        <v>3</v>
      </c>
      <c r="T22" s="1">
        <f>35.6-5</f>
        <v>30.6</v>
      </c>
      <c r="U22" s="13"/>
    </row>
    <row r="23" spans="1:21" ht="15.75" thickBot="1" x14ac:dyDescent="0.3">
      <c r="A23" s="5" t="str">
        <f>'Cq and Delta Cq'!A20</f>
        <v>B8</v>
      </c>
      <c r="B23" s="5" t="str">
        <f>'Cq and Delta Cq'!B20</f>
        <v>OM3-010_30 min</v>
      </c>
      <c r="C23" s="6" t="str">
        <f>IF(OR(AND('Cq and Delta Cq'!C20&gt;'VITA Index summary'!$O$15,'Cq and Delta Cq'!C20&lt;'VITA Index summary'!$O$16),AND('Cq and Delta Cq'!D20&gt;'VITA Index summary'!$O$21,'Cq and Delta Cq'!D20&lt;'VITA Index summary'!$O$22)),"CT detected", "CT not detected")</f>
        <v>CT not detected</v>
      </c>
      <c r="D23" s="58" t="str" cm="1">
        <f t="array" ref="D23">IFERROR(_xlfn.IFS(C23="CT not detected","N/A",'Cq and Delta Cq'!C20&gt;'VITA Index summary'!$T$16,"Indeterminate",'Cq and Delta Cq'!D20&gt;'VITA Index summary'!$T$22,"Indeterminate",'Cq and Delta Cq'!C20&lt;'VITA Index summary'!$T$16,2^('Cq and Delta Cq'!I20)/2,'Cq and Delta Cq'!D20&lt;'VITA Index summary'!$T$22,2^('Cq and Delta Cq'!I20)/2),"Indeterminate")</f>
        <v>N/A</v>
      </c>
      <c r="E23" s="58">
        <f t="shared" si="0"/>
        <v>1.57</v>
      </c>
      <c r="F23" s="6" t="str">
        <f>IF(OR(AND('Cq and Delta Cq'!F20&gt;'VITA Index summary'!$O$27,'Cq and Delta Cq'!F20&lt;'VITA Index summary'!$O$28),AND('Cq and Delta Cq'!G20&gt;'VITA Index summary'!$O$33,'Cq and Delta Cq'!G20&lt;'VITA Index summary'!$O$34)),"NG detected", "NG not detected")</f>
        <v>NG detected</v>
      </c>
      <c r="G23" s="58" t="str" cm="1">
        <f t="array" ref="G23">IFERROR(_xlfn.IFS(F23="NG not detected","N/A",'Cq and Delta Cq'!F20&gt;'VITA Index summary'!$T$28,"Indeterminate",'Cq and Delta Cq'!G20&gt;'VITA Index summary'!$T$34,"Indeterminate",'Cq and Delta Cq'!F20&lt;'VITA Index summary'!$T$28,2^('Cq and Delta Cq'!J20)/2,'Cq and Delta Cq'!G20&lt;'VITA Index summary'!$T$34,2^('Cq and Delta Cq'!J20)/2),"Indeterminate")</f>
        <v>Indeterminate</v>
      </c>
      <c r="H23" s="56">
        <f t="shared" si="1"/>
        <v>1.46</v>
      </c>
      <c r="I23" s="7" t="str">
        <f>IFERROR(IF(AND('VITA Index summary'!$O$39&lt;'Cq and Delta Cq'!E20,'Cq and Delta Cq'!E20&lt;'VITA Index summary'!$O$40),"EC VALID","EC INVALID"),"EC INVALID")</f>
        <v>EC VALID</v>
      </c>
      <c r="M23" s="14"/>
      <c r="N23" s="15"/>
      <c r="O23" s="15"/>
      <c r="P23" s="16"/>
      <c r="R23" s="14"/>
      <c r="S23" s="15"/>
      <c r="T23" s="15"/>
      <c r="U23" s="16"/>
    </row>
    <row r="24" spans="1:21" ht="15.75" thickBot="1" x14ac:dyDescent="0.3">
      <c r="A24" s="5" t="str">
        <f>'Cq and Delta Cq'!A21</f>
        <v>B9</v>
      </c>
      <c r="B24" s="5" t="str">
        <f>'Cq and Delta Cq'!B21</f>
        <v>OM3-010_60 min</v>
      </c>
      <c r="C24" s="6" t="str">
        <f>IF(OR(AND('Cq and Delta Cq'!C21&gt;'VITA Index summary'!$O$15,'Cq and Delta Cq'!C21&lt;'VITA Index summary'!$O$16),AND('Cq and Delta Cq'!D21&gt;'VITA Index summary'!$O$21,'Cq and Delta Cq'!D21&lt;'VITA Index summary'!$O$22)),"CT detected", "CT not detected")</f>
        <v>CT not detected</v>
      </c>
      <c r="D24" s="58" t="str" cm="1">
        <f t="array" ref="D24">IFERROR(_xlfn.IFS(C24="CT not detected","N/A",'Cq and Delta Cq'!C21&gt;'VITA Index summary'!$T$16,"Indeterminate",'Cq and Delta Cq'!D21&gt;'VITA Index summary'!$T$22,"Indeterminate",'Cq and Delta Cq'!C21&lt;'VITA Index summary'!$T$16,2^('Cq and Delta Cq'!I21)/2,'Cq and Delta Cq'!D21&lt;'VITA Index summary'!$T$22,2^('Cq and Delta Cq'!I21)/2),"Indeterminate")</f>
        <v>N/A</v>
      </c>
      <c r="E24" s="58">
        <f t="shared" si="0"/>
        <v>1.57</v>
      </c>
      <c r="F24" s="6" t="str">
        <f>IF(OR(AND('Cq and Delta Cq'!F21&gt;'VITA Index summary'!$O$27,'Cq and Delta Cq'!F21&lt;'VITA Index summary'!$O$28),AND('Cq and Delta Cq'!G21&gt;'VITA Index summary'!$O$33,'Cq and Delta Cq'!G21&lt;'VITA Index summary'!$O$34)),"NG detected", "NG not detected")</f>
        <v>NG detected</v>
      </c>
      <c r="G24" s="58" cm="1">
        <f t="array" ref="G24">IFERROR(_xlfn.IFS(F24="NG not detected","N/A",'Cq and Delta Cq'!F21&gt;'VITA Index summary'!$T$28,"Indeterminate",'Cq and Delta Cq'!G21&gt;'VITA Index summary'!$T$34,"Indeterminate",'Cq and Delta Cq'!F21&lt;'VITA Index summary'!$T$28,2^('Cq and Delta Cq'!J21)/2,'Cq and Delta Cq'!G21&lt;'VITA Index summary'!$T$34,2^('Cq and Delta Cq'!J21)/2),"Indeterminate")</f>
        <v>1.8355258746828782</v>
      </c>
      <c r="H24" s="56">
        <f t="shared" si="1"/>
        <v>1.46</v>
      </c>
      <c r="I24" s="7" t="str">
        <f>IFERROR(IF(AND('VITA Index summary'!$O$39&lt;'Cq and Delta Cq'!E21,'Cq and Delta Cq'!E21&lt;'VITA Index summary'!$O$40),"EC VALID","EC INVALID"),"EC INVALID")</f>
        <v>EC VALID</v>
      </c>
    </row>
    <row r="25" spans="1:21" x14ac:dyDescent="0.25">
      <c r="A25" s="5" t="str">
        <f>'Cq and Delta Cq'!A22</f>
        <v>B10</v>
      </c>
      <c r="B25" s="5" t="str">
        <f>'Cq and Delta Cq'!B22</f>
        <v>OM3-010_120 min</v>
      </c>
      <c r="C25" s="6" t="str">
        <f>IF(OR(AND('Cq and Delta Cq'!C22&gt;'VITA Index summary'!$O$15,'Cq and Delta Cq'!C22&lt;'VITA Index summary'!$O$16),AND('Cq and Delta Cq'!D22&gt;'VITA Index summary'!$O$21,'Cq and Delta Cq'!D22&lt;'VITA Index summary'!$O$22)),"CT detected", "CT not detected")</f>
        <v>CT not detected</v>
      </c>
      <c r="D25" s="58" t="str" cm="1">
        <f t="array" ref="D25">IFERROR(_xlfn.IFS(C25="CT not detected","N/A",'Cq and Delta Cq'!C22&gt;'VITA Index summary'!$T$16,"Indeterminate",'Cq and Delta Cq'!D22&gt;'VITA Index summary'!$T$22,"Indeterminate",'Cq and Delta Cq'!C22&lt;'VITA Index summary'!$T$16,2^('Cq and Delta Cq'!I22)/2,'Cq and Delta Cq'!D22&lt;'VITA Index summary'!$T$22,2^('Cq and Delta Cq'!I22)/2),"Indeterminate")</f>
        <v>N/A</v>
      </c>
      <c r="E25" s="58">
        <f t="shared" si="0"/>
        <v>1.57</v>
      </c>
      <c r="F25" s="6" t="str">
        <f>IF(OR(AND('Cq and Delta Cq'!F22&gt;'VITA Index summary'!$O$27,'Cq and Delta Cq'!F22&lt;'VITA Index summary'!$O$28),AND('Cq and Delta Cq'!G22&gt;'VITA Index summary'!$O$33,'Cq and Delta Cq'!G22&lt;'VITA Index summary'!$O$34)),"NG detected", "NG not detected")</f>
        <v>NG detected</v>
      </c>
      <c r="G25" s="58" t="str" cm="1">
        <f t="array" ref="G25">IFERROR(_xlfn.IFS(F25="NG not detected","N/A",'Cq and Delta Cq'!F22&gt;'VITA Index summary'!$T$28,"Indeterminate",'Cq and Delta Cq'!G22&gt;'VITA Index summary'!$T$34,"Indeterminate",'Cq and Delta Cq'!F22&lt;'VITA Index summary'!$T$28,2^('Cq and Delta Cq'!J22)/2,'Cq and Delta Cq'!G22&lt;'VITA Index summary'!$T$34,2^('Cq and Delta Cq'!J22)/2),"Indeterminate")</f>
        <v>Indeterminate</v>
      </c>
      <c r="H25" s="56">
        <f t="shared" si="1"/>
        <v>1.46</v>
      </c>
      <c r="I25" s="7" t="str">
        <f>IFERROR(IF(AND('VITA Index summary'!$O$39&lt;'Cq and Delta Cq'!E22,'Cq and Delta Cq'!E22&lt;'VITA Index summary'!$O$40),"EC VALID","EC INVALID"),"EC INVALID")</f>
        <v>EC VALID</v>
      </c>
      <c r="M25" s="8"/>
      <c r="N25" s="9"/>
      <c r="O25" s="9"/>
      <c r="P25" s="10"/>
      <c r="R25" s="8"/>
      <c r="S25" s="9"/>
      <c r="T25" s="9"/>
      <c r="U25" s="10"/>
    </row>
    <row r="26" spans="1:21" x14ac:dyDescent="0.25">
      <c r="A26" s="5" t="str">
        <f>'Cq and Delta Cq'!A23</f>
        <v>B12</v>
      </c>
      <c r="B26" s="5" t="str">
        <f>'Cq and Delta Cq'!B23</f>
        <v>NTC</v>
      </c>
      <c r="C26" s="6" t="str">
        <f>IF(OR(AND('Cq and Delta Cq'!C23&gt;'VITA Index summary'!$O$15,'Cq and Delta Cq'!C23&lt;'VITA Index summary'!$O$16),AND('Cq and Delta Cq'!D23&gt;'VITA Index summary'!$O$21,'Cq and Delta Cq'!D23&lt;'VITA Index summary'!$O$22)),"CT detected", "CT not detected")</f>
        <v>CT not detected</v>
      </c>
      <c r="D26" s="58" t="str" cm="1">
        <f t="array" ref="D26">IFERROR(_xlfn.IFS(C26="CT not detected","N/A",'Cq and Delta Cq'!C23&gt;'VITA Index summary'!$T$16,"Indeterminate",'Cq and Delta Cq'!D23&gt;'VITA Index summary'!$T$22,"Indeterminate",'Cq and Delta Cq'!C23&lt;'VITA Index summary'!$T$16,2^('Cq and Delta Cq'!I23)/2,'Cq and Delta Cq'!D23&lt;'VITA Index summary'!$T$22,2^('Cq and Delta Cq'!I23)/2),"Indeterminate")</f>
        <v>N/A</v>
      </c>
      <c r="E26" s="58">
        <f t="shared" si="0"/>
        <v>1.57</v>
      </c>
      <c r="F26" s="6" t="str">
        <f>IF(OR(AND('Cq and Delta Cq'!F23&gt;'VITA Index summary'!$O$27,'Cq and Delta Cq'!F23&lt;'VITA Index summary'!$O$28),AND('Cq and Delta Cq'!G23&gt;'VITA Index summary'!$O$33,'Cq and Delta Cq'!G23&lt;'VITA Index summary'!$O$34)),"NG detected", "NG not detected")</f>
        <v>NG not detected</v>
      </c>
      <c r="G26" s="58" t="str" cm="1">
        <f t="array" ref="G26">IFERROR(_xlfn.IFS(F26="NG not detected","N/A",'Cq and Delta Cq'!F23&gt;'VITA Index summary'!$T$28,"Indeterminate",'Cq and Delta Cq'!G23&gt;'VITA Index summary'!$T$34,"Indeterminate",'Cq and Delta Cq'!F23&lt;'VITA Index summary'!$T$28,2^('Cq and Delta Cq'!J23)/2,'Cq and Delta Cq'!G23&lt;'VITA Index summary'!$T$34,2^('Cq and Delta Cq'!J23)/2),"Indeterminate")</f>
        <v>N/A</v>
      </c>
      <c r="H26" s="56">
        <f t="shared" si="1"/>
        <v>1.46</v>
      </c>
      <c r="I26" s="7" t="str">
        <f>IFERROR(IF(AND('VITA Index summary'!$O$39&lt;'Cq and Delta Cq'!E23,'Cq and Delta Cq'!E23&lt;'VITA Index summary'!$O$40),"EC VALID","EC INVALID"),"EC INVALID")</f>
        <v>EC INVALID</v>
      </c>
      <c r="M26" s="11"/>
      <c r="N26" s="12" t="s">
        <v>121</v>
      </c>
      <c r="P26" s="13"/>
      <c r="R26" s="11"/>
      <c r="S26" s="12" t="s">
        <v>125</v>
      </c>
      <c r="U26" s="13"/>
    </row>
    <row r="27" spans="1:21" x14ac:dyDescent="0.25">
      <c r="A27" s="5" t="str">
        <f>'Cq and Delta Cq'!A24</f>
        <v>C1</v>
      </c>
      <c r="B27" s="5" t="str">
        <f>'Cq and Delta Cq'!B24</f>
        <v>OM3-003_0 min</v>
      </c>
      <c r="C27" s="6" t="str">
        <f>IF(OR(AND('Cq and Delta Cq'!C24&gt;'VITA Index summary'!$O$15,'Cq and Delta Cq'!C24&lt;'VITA Index summary'!$O$16),AND('Cq and Delta Cq'!D24&gt;'VITA Index summary'!$O$21,'Cq and Delta Cq'!D24&lt;'VITA Index summary'!$O$22)),"CT detected", "CT not detected")</f>
        <v>CT not detected</v>
      </c>
      <c r="D27" s="58" t="str" cm="1">
        <f t="array" ref="D27">IFERROR(_xlfn.IFS(C27="CT not detected","N/A",'Cq and Delta Cq'!C24&gt;'VITA Index summary'!$T$16,"Indeterminate",'Cq and Delta Cq'!D24&gt;'VITA Index summary'!$T$22,"Indeterminate",'Cq and Delta Cq'!C24&lt;'VITA Index summary'!$T$16,2^('Cq and Delta Cq'!I24)/2,'Cq and Delta Cq'!D24&lt;'VITA Index summary'!$T$22,2^('Cq and Delta Cq'!I24)/2),"Indeterminate")</f>
        <v>N/A</v>
      </c>
      <c r="E27" s="58">
        <f t="shared" si="0"/>
        <v>1.57</v>
      </c>
      <c r="F27" s="6" t="str">
        <f>IF(OR(AND('Cq and Delta Cq'!F24&gt;'VITA Index summary'!$O$27,'Cq and Delta Cq'!F24&lt;'VITA Index summary'!$O$28),AND('Cq and Delta Cq'!G24&gt;'VITA Index summary'!$O$33,'Cq and Delta Cq'!G24&lt;'VITA Index summary'!$O$34)),"NG detected", "NG not detected")</f>
        <v>NG not detected</v>
      </c>
      <c r="G27" s="58" t="str" cm="1">
        <f t="array" ref="G27">IFERROR(_xlfn.IFS(F27="NG not detected","N/A",'Cq and Delta Cq'!F24&gt;'VITA Index summary'!$T$28,"Indeterminate",'Cq and Delta Cq'!G24&gt;'VITA Index summary'!$T$34,"Indeterminate",'Cq and Delta Cq'!F24&lt;'VITA Index summary'!$T$28,2^('Cq and Delta Cq'!J24)/2,'Cq and Delta Cq'!G24&lt;'VITA Index summary'!$T$34,2^('Cq and Delta Cq'!J24)/2),"Indeterminate")</f>
        <v>N/A</v>
      </c>
      <c r="H27" s="56">
        <f t="shared" si="1"/>
        <v>1.46</v>
      </c>
      <c r="I27" s="7" t="str">
        <f>IFERROR(IF(AND('VITA Index summary'!$O$39&lt;'Cq and Delta Cq'!E24,'Cq and Delta Cq'!E24&lt;'VITA Index summary'!$O$40),"EC VALID","EC INVALID"),"EC INVALID")</f>
        <v>EC VALID</v>
      </c>
      <c r="M27" s="11"/>
      <c r="N27" s="17" t="s">
        <v>2</v>
      </c>
      <c r="O27" s="1">
        <v>0</v>
      </c>
      <c r="P27" s="13"/>
      <c r="R27" s="11"/>
      <c r="S27" s="17" t="s">
        <v>2</v>
      </c>
      <c r="T27" s="1">
        <v>0</v>
      </c>
      <c r="U27" s="13"/>
    </row>
    <row r="28" spans="1:21" x14ac:dyDescent="0.25">
      <c r="A28" s="5" t="str">
        <f>'Cq and Delta Cq'!A25</f>
        <v>C2</v>
      </c>
      <c r="B28" s="5" t="str">
        <f>'Cq and Delta Cq'!B25</f>
        <v>OM3-003_5 min</v>
      </c>
      <c r="C28" s="6" t="str">
        <f>IF(OR(AND('Cq and Delta Cq'!C25&gt;'VITA Index summary'!$O$15,'Cq and Delta Cq'!C25&lt;'VITA Index summary'!$O$16),AND('Cq and Delta Cq'!D25&gt;'VITA Index summary'!$O$21,'Cq and Delta Cq'!D25&lt;'VITA Index summary'!$O$22)),"CT detected", "CT not detected")</f>
        <v>CT not detected</v>
      </c>
      <c r="D28" s="58" t="str" cm="1">
        <f t="array" ref="D28">IFERROR(_xlfn.IFS(C28="CT not detected","N/A",'Cq and Delta Cq'!C25&gt;'VITA Index summary'!$T$16,"Indeterminate",'Cq and Delta Cq'!D25&gt;'VITA Index summary'!$T$22,"Indeterminate",'Cq and Delta Cq'!C25&lt;'VITA Index summary'!$T$16,2^('Cq and Delta Cq'!I25)/2,'Cq and Delta Cq'!D25&lt;'VITA Index summary'!$T$22,2^('Cq and Delta Cq'!I25)/2),"Indeterminate")</f>
        <v>N/A</v>
      </c>
      <c r="E28" s="58">
        <f t="shared" si="0"/>
        <v>1.57</v>
      </c>
      <c r="F28" s="6" t="str">
        <f>IF(OR(AND('Cq and Delta Cq'!F25&gt;'VITA Index summary'!$O$27,'Cq and Delta Cq'!F25&lt;'VITA Index summary'!$O$28),AND('Cq and Delta Cq'!G25&gt;'VITA Index summary'!$O$33,'Cq and Delta Cq'!G25&lt;'VITA Index summary'!$O$34)),"NG detected", "NG not detected")</f>
        <v>NG not detected</v>
      </c>
      <c r="G28" s="58" t="str" cm="1">
        <f t="array" ref="G28">IFERROR(_xlfn.IFS(F28="NG not detected","N/A",'Cq and Delta Cq'!F25&gt;'VITA Index summary'!$T$28,"Indeterminate",'Cq and Delta Cq'!G25&gt;'VITA Index summary'!$T$34,"Indeterminate",'Cq and Delta Cq'!F25&lt;'VITA Index summary'!$T$28,2^('Cq and Delta Cq'!J25)/2,'Cq and Delta Cq'!G25&lt;'VITA Index summary'!$T$34,2^('Cq and Delta Cq'!J25)/2),"Indeterminate")</f>
        <v>N/A</v>
      </c>
      <c r="H28" s="56">
        <f t="shared" si="1"/>
        <v>1.46</v>
      </c>
      <c r="I28" s="7" t="str">
        <f>IFERROR(IF(AND('VITA Index summary'!$O$39&lt;'Cq and Delta Cq'!E25,'Cq and Delta Cq'!E25&lt;'VITA Index summary'!$O$40),"EC VALID","EC INVALID"),"EC INVALID")</f>
        <v>EC VALID</v>
      </c>
      <c r="M28" s="11"/>
      <c r="N28" s="17" t="s">
        <v>3</v>
      </c>
      <c r="O28" s="1">
        <f>39.2-5</f>
        <v>34.200000000000003</v>
      </c>
      <c r="P28" s="13"/>
      <c r="R28" s="11"/>
      <c r="S28" s="17" t="s">
        <v>3</v>
      </c>
      <c r="T28" s="1">
        <f>35.6-5</f>
        <v>30.6</v>
      </c>
      <c r="U28" s="13"/>
    </row>
    <row r="29" spans="1:21" ht="15.75" thickBot="1" x14ac:dyDescent="0.3">
      <c r="A29" s="5" t="str">
        <f>'Cq and Delta Cq'!A26</f>
        <v>C3</v>
      </c>
      <c r="B29" s="5" t="str">
        <f>'Cq and Delta Cq'!B26</f>
        <v>OM3-003_30 min</v>
      </c>
      <c r="C29" s="6" t="str">
        <f>IF(OR(AND('Cq and Delta Cq'!C26&gt;'VITA Index summary'!$O$15,'Cq and Delta Cq'!C26&lt;'VITA Index summary'!$O$16),AND('Cq and Delta Cq'!D26&gt;'VITA Index summary'!$O$21,'Cq and Delta Cq'!D26&lt;'VITA Index summary'!$O$22)),"CT detected", "CT not detected")</f>
        <v>CT not detected</v>
      </c>
      <c r="D29" s="58" t="str" cm="1">
        <f t="array" ref="D29">IFERROR(_xlfn.IFS(C29="CT not detected","N/A",'Cq and Delta Cq'!C26&gt;'VITA Index summary'!$T$16,"Indeterminate",'Cq and Delta Cq'!D26&gt;'VITA Index summary'!$T$22,"Indeterminate",'Cq and Delta Cq'!C26&lt;'VITA Index summary'!$T$16,2^('Cq and Delta Cq'!I26)/2,'Cq and Delta Cq'!D26&lt;'VITA Index summary'!$T$22,2^('Cq and Delta Cq'!I26)/2),"Indeterminate")</f>
        <v>N/A</v>
      </c>
      <c r="E29" s="58">
        <f t="shared" si="0"/>
        <v>1.57</v>
      </c>
      <c r="F29" s="6" t="str">
        <f>IF(OR(AND('Cq and Delta Cq'!F26&gt;'VITA Index summary'!$O$27,'Cq and Delta Cq'!F26&lt;'VITA Index summary'!$O$28),AND('Cq and Delta Cq'!G26&gt;'VITA Index summary'!$O$33,'Cq and Delta Cq'!G26&lt;'VITA Index summary'!$O$34)),"NG detected", "NG not detected")</f>
        <v>NG detected</v>
      </c>
      <c r="G29" s="58" t="str" cm="1">
        <f t="array" ref="G29">IFERROR(_xlfn.IFS(F29="NG not detected","N/A",'Cq and Delta Cq'!F26&gt;'VITA Index summary'!$T$28,"Indeterminate",'Cq and Delta Cq'!G26&gt;'VITA Index summary'!$T$34,"Indeterminate",'Cq and Delta Cq'!F26&lt;'VITA Index summary'!$T$28,2^('Cq and Delta Cq'!J26)/2,'Cq and Delta Cq'!G26&lt;'VITA Index summary'!$T$34,2^('Cq and Delta Cq'!J26)/2),"Indeterminate")</f>
        <v>Indeterminate</v>
      </c>
      <c r="H29" s="56">
        <f t="shared" si="1"/>
        <v>1.46</v>
      </c>
      <c r="I29" s="7" t="str">
        <f>IFERROR(IF(AND('VITA Index summary'!$O$39&lt;'Cq and Delta Cq'!E26,'Cq and Delta Cq'!E26&lt;'VITA Index summary'!$O$40),"EC VALID","EC INVALID"),"EC INVALID")</f>
        <v>EC VALID</v>
      </c>
      <c r="M29" s="14"/>
      <c r="N29" s="15"/>
      <c r="O29" s="15"/>
      <c r="P29" s="16"/>
      <c r="R29" s="14"/>
      <c r="S29" s="15"/>
      <c r="T29" s="15"/>
      <c r="U29" s="16"/>
    </row>
    <row r="30" spans="1:21" ht="15.75" thickBot="1" x14ac:dyDescent="0.3">
      <c r="A30" s="5" t="str">
        <f>'Cq and Delta Cq'!A27</f>
        <v>C4</v>
      </c>
      <c r="B30" s="5" t="str">
        <f>'Cq and Delta Cq'!B27</f>
        <v>OM3-003_60 min</v>
      </c>
      <c r="C30" s="6" t="str">
        <f>IF(OR(AND('Cq and Delta Cq'!C27&gt;'VITA Index summary'!$O$15,'Cq and Delta Cq'!C27&lt;'VITA Index summary'!$O$16),AND('Cq and Delta Cq'!D27&gt;'VITA Index summary'!$O$21,'Cq and Delta Cq'!D27&lt;'VITA Index summary'!$O$22)),"CT detected", "CT not detected")</f>
        <v>CT not detected</v>
      </c>
      <c r="D30" s="58" t="str" cm="1">
        <f t="array" ref="D30">IFERROR(_xlfn.IFS(C30="CT not detected","N/A",'Cq and Delta Cq'!C27&gt;'VITA Index summary'!$T$16,"Indeterminate",'Cq and Delta Cq'!D27&gt;'VITA Index summary'!$T$22,"Indeterminate",'Cq and Delta Cq'!C27&lt;'VITA Index summary'!$T$16,2^('Cq and Delta Cq'!I27)/2,'Cq and Delta Cq'!D27&lt;'VITA Index summary'!$T$22,2^('Cq and Delta Cq'!I27)/2),"Indeterminate")</f>
        <v>N/A</v>
      </c>
      <c r="E30" s="58">
        <f t="shared" si="0"/>
        <v>1.57</v>
      </c>
      <c r="F30" s="6" t="str">
        <f>IF(OR(AND('Cq and Delta Cq'!F27&gt;'VITA Index summary'!$O$27,'Cq and Delta Cq'!F27&lt;'VITA Index summary'!$O$28),AND('Cq and Delta Cq'!G27&gt;'VITA Index summary'!$O$33,'Cq and Delta Cq'!G27&lt;'VITA Index summary'!$O$34)),"NG detected", "NG not detected")</f>
        <v>NG detected</v>
      </c>
      <c r="G30" s="58" t="str" cm="1">
        <f t="array" ref="G30">IFERROR(_xlfn.IFS(F30="NG not detected","N/A",'Cq and Delta Cq'!F27&gt;'VITA Index summary'!$T$28,"Indeterminate",'Cq and Delta Cq'!G27&gt;'VITA Index summary'!$T$34,"Indeterminate",'Cq and Delta Cq'!F27&lt;'VITA Index summary'!$T$28,2^('Cq and Delta Cq'!J27)/2,'Cq and Delta Cq'!G27&lt;'VITA Index summary'!$T$34,2^('Cq and Delta Cq'!J27)/2),"Indeterminate")</f>
        <v>Indeterminate</v>
      </c>
      <c r="H30" s="56">
        <f t="shared" si="1"/>
        <v>1.46</v>
      </c>
      <c r="I30" s="7" t="str">
        <f>IFERROR(IF(AND('VITA Index summary'!$O$39&lt;'Cq and Delta Cq'!E27,'Cq and Delta Cq'!E27&lt;'VITA Index summary'!$O$40),"EC VALID","EC INVALID"),"EC INVALID")</f>
        <v>EC VALID</v>
      </c>
    </row>
    <row r="31" spans="1:21" x14ac:dyDescent="0.25">
      <c r="A31" s="5" t="str">
        <f>'Cq and Delta Cq'!A28</f>
        <v>C5</v>
      </c>
      <c r="B31" s="5" t="str">
        <f>'Cq and Delta Cq'!B28</f>
        <v>OM3-003_120 min</v>
      </c>
      <c r="C31" s="6" t="str">
        <f>IF(OR(AND('Cq and Delta Cq'!C28&gt;'VITA Index summary'!$O$15,'Cq and Delta Cq'!C28&lt;'VITA Index summary'!$O$16),AND('Cq and Delta Cq'!D28&gt;'VITA Index summary'!$O$21,'Cq and Delta Cq'!D28&lt;'VITA Index summary'!$O$22)),"CT detected", "CT not detected")</f>
        <v>CT not detected</v>
      </c>
      <c r="D31" s="58" t="str" cm="1">
        <f t="array" ref="D31">IFERROR(_xlfn.IFS(C31="CT not detected","N/A",'Cq and Delta Cq'!C28&gt;'VITA Index summary'!$T$16,"Indeterminate",'Cq and Delta Cq'!D28&gt;'VITA Index summary'!$T$22,"Indeterminate",'Cq and Delta Cq'!C28&lt;'VITA Index summary'!$T$16,2^('Cq and Delta Cq'!I28)/2,'Cq and Delta Cq'!D28&lt;'VITA Index summary'!$T$22,2^('Cq and Delta Cq'!I28)/2),"Indeterminate")</f>
        <v>N/A</v>
      </c>
      <c r="E31" s="58">
        <f t="shared" si="0"/>
        <v>1.57</v>
      </c>
      <c r="F31" s="6" t="str">
        <f>IF(OR(AND('Cq and Delta Cq'!F28&gt;'VITA Index summary'!$O$27,'Cq and Delta Cq'!F28&lt;'VITA Index summary'!$O$28),AND('Cq and Delta Cq'!G28&gt;'VITA Index summary'!$O$33,'Cq and Delta Cq'!G28&lt;'VITA Index summary'!$O$34)),"NG detected", "NG not detected")</f>
        <v>NG detected</v>
      </c>
      <c r="G31" s="58" t="str" cm="1">
        <f t="array" ref="G31">IFERROR(_xlfn.IFS(F31="NG not detected","N/A",'Cq and Delta Cq'!F28&gt;'VITA Index summary'!$T$28,"Indeterminate",'Cq and Delta Cq'!G28&gt;'VITA Index summary'!$T$34,"Indeterminate",'Cq and Delta Cq'!F28&lt;'VITA Index summary'!$T$28,2^('Cq and Delta Cq'!J28)/2,'Cq and Delta Cq'!G28&lt;'VITA Index summary'!$T$34,2^('Cq and Delta Cq'!J28)/2),"Indeterminate")</f>
        <v>Indeterminate</v>
      </c>
      <c r="H31" s="56">
        <f t="shared" si="1"/>
        <v>1.46</v>
      </c>
      <c r="I31" s="7" t="str">
        <f>IFERROR(IF(AND('VITA Index summary'!$O$39&lt;'Cq and Delta Cq'!E28,'Cq and Delta Cq'!E28&lt;'VITA Index summary'!$O$40),"EC VALID","EC INVALID"),"EC INVALID")</f>
        <v>EC VALID</v>
      </c>
      <c r="M31" s="8"/>
      <c r="N31" s="9"/>
      <c r="O31" s="9"/>
      <c r="P31" s="10"/>
      <c r="R31" s="8"/>
      <c r="S31" s="9"/>
      <c r="T31" s="9"/>
      <c r="U31" s="10"/>
    </row>
    <row r="32" spans="1:21" x14ac:dyDescent="0.25">
      <c r="A32" s="5" t="str">
        <f>'Cq and Delta Cq'!A29</f>
        <v>C6</v>
      </c>
      <c r="B32" s="5" t="str">
        <f>'Cq and Delta Cq'!B29</f>
        <v>OM3-011_0 min</v>
      </c>
      <c r="C32" s="6" t="str">
        <f>IF(OR(AND('Cq and Delta Cq'!C29&gt;'VITA Index summary'!$O$15,'Cq and Delta Cq'!C29&lt;'VITA Index summary'!$O$16),AND('Cq and Delta Cq'!D29&gt;'VITA Index summary'!$O$21,'Cq and Delta Cq'!D29&lt;'VITA Index summary'!$O$22)),"CT detected", "CT not detected")</f>
        <v>CT not detected</v>
      </c>
      <c r="D32" s="58" t="str" cm="1">
        <f t="array" ref="D32">IFERROR(_xlfn.IFS(C32="CT not detected","N/A",'Cq and Delta Cq'!C29&gt;'VITA Index summary'!$T$16,"Indeterminate",'Cq and Delta Cq'!D29&gt;'VITA Index summary'!$T$22,"Indeterminate",'Cq and Delta Cq'!C29&lt;'VITA Index summary'!$T$16,2^('Cq and Delta Cq'!I29)/2,'Cq and Delta Cq'!D29&lt;'VITA Index summary'!$T$22,2^('Cq and Delta Cq'!I29)/2),"Indeterminate")</f>
        <v>N/A</v>
      </c>
      <c r="E32" s="58">
        <f t="shared" si="0"/>
        <v>1.57</v>
      </c>
      <c r="F32" s="6" t="str">
        <f>IF(OR(AND('Cq and Delta Cq'!F29&gt;'VITA Index summary'!$O$27,'Cq and Delta Cq'!F29&lt;'VITA Index summary'!$O$28),AND('Cq and Delta Cq'!G29&gt;'VITA Index summary'!$O$33,'Cq and Delta Cq'!G29&lt;'VITA Index summary'!$O$34)),"NG detected", "NG not detected")</f>
        <v>NG detected</v>
      </c>
      <c r="G32" s="58" cm="1">
        <f t="array" ref="G32">IFERROR(_xlfn.IFS(F32="NG not detected","N/A",'Cq and Delta Cq'!F29&gt;'VITA Index summary'!$T$28,"Indeterminate",'Cq and Delta Cq'!G29&gt;'VITA Index summary'!$T$34,"Indeterminate",'Cq and Delta Cq'!F29&lt;'VITA Index summary'!$T$28,2^('Cq and Delta Cq'!J29)/2,'Cq and Delta Cq'!G29&lt;'VITA Index summary'!$T$34,2^('Cq and Delta Cq'!J29)/2),"Indeterminate")</f>
        <v>4.9508608068472864</v>
      </c>
      <c r="H32" s="56">
        <f t="shared" si="1"/>
        <v>1.46</v>
      </c>
      <c r="I32" s="7" t="str">
        <f>IFERROR(IF(AND('VITA Index summary'!$O$39&lt;'Cq and Delta Cq'!E29,'Cq and Delta Cq'!E29&lt;'VITA Index summary'!$O$40),"EC VALID","EC INVALID"),"EC INVALID")</f>
        <v>EC VALID</v>
      </c>
      <c r="M32" s="11"/>
      <c r="N32" s="12" t="s">
        <v>122</v>
      </c>
      <c r="P32" s="13"/>
      <c r="R32" s="11"/>
      <c r="S32" s="12" t="s">
        <v>126</v>
      </c>
      <c r="U32" s="13"/>
    </row>
    <row r="33" spans="1:21" x14ac:dyDescent="0.25">
      <c r="A33" s="5" t="str">
        <f>'Cq and Delta Cq'!A30</f>
        <v>C7</v>
      </c>
      <c r="B33" s="5" t="str">
        <f>'Cq and Delta Cq'!B30</f>
        <v>OM3-011_5 min</v>
      </c>
      <c r="C33" s="6" t="str">
        <f>IF(OR(AND('Cq and Delta Cq'!C30&gt;'VITA Index summary'!$O$15,'Cq and Delta Cq'!C30&lt;'VITA Index summary'!$O$16),AND('Cq and Delta Cq'!D30&gt;'VITA Index summary'!$O$21,'Cq and Delta Cq'!D30&lt;'VITA Index summary'!$O$22)),"CT detected", "CT not detected")</f>
        <v>CT not detected</v>
      </c>
      <c r="D33" s="58" t="str" cm="1">
        <f t="array" ref="D33">IFERROR(_xlfn.IFS(C33="CT not detected","N/A",'Cq and Delta Cq'!C30&gt;'VITA Index summary'!$T$16,"Indeterminate",'Cq and Delta Cq'!D30&gt;'VITA Index summary'!$T$22,"Indeterminate",'Cq and Delta Cq'!C30&lt;'VITA Index summary'!$T$16,2^('Cq and Delta Cq'!I30)/2,'Cq and Delta Cq'!D30&lt;'VITA Index summary'!$T$22,2^('Cq and Delta Cq'!I30)/2),"Indeterminate")</f>
        <v>N/A</v>
      </c>
      <c r="E33" s="58">
        <f t="shared" si="0"/>
        <v>1.57</v>
      </c>
      <c r="F33" s="6" t="str">
        <f>IF(OR(AND('Cq and Delta Cq'!F30&gt;'VITA Index summary'!$O$27,'Cq and Delta Cq'!F30&lt;'VITA Index summary'!$O$28),AND('Cq and Delta Cq'!G30&gt;'VITA Index summary'!$O$33,'Cq and Delta Cq'!G30&lt;'VITA Index summary'!$O$34)),"NG detected", "NG not detected")</f>
        <v>NG detected</v>
      </c>
      <c r="G33" s="58" cm="1">
        <f t="array" ref="G33">IFERROR(_xlfn.IFS(F33="NG not detected","N/A",'Cq and Delta Cq'!F30&gt;'VITA Index summary'!$T$28,"Indeterminate",'Cq and Delta Cq'!G30&gt;'VITA Index summary'!$T$34,"Indeterminate",'Cq and Delta Cq'!F30&lt;'VITA Index summary'!$T$28,2^('Cq and Delta Cq'!J30)/2,'Cq and Delta Cq'!G30&lt;'VITA Index summary'!$T$34,2^('Cq and Delta Cq'!J30)/2),"Indeterminate")</f>
        <v>2.2368529147512652</v>
      </c>
      <c r="H33" s="56">
        <f t="shared" si="1"/>
        <v>1.46</v>
      </c>
      <c r="I33" s="7" t="str">
        <f>IFERROR(IF(AND('VITA Index summary'!$O$39&lt;'Cq and Delta Cq'!E30,'Cq and Delta Cq'!E30&lt;'VITA Index summary'!$O$40),"EC VALID","EC INVALID"),"EC INVALID")</f>
        <v>EC VALID</v>
      </c>
      <c r="M33" s="11"/>
      <c r="N33" s="17" t="s">
        <v>2</v>
      </c>
      <c r="O33" s="1">
        <v>0</v>
      </c>
      <c r="P33" s="13"/>
      <c r="R33" s="11"/>
      <c r="S33" s="17" t="s">
        <v>2</v>
      </c>
      <c r="T33" s="1">
        <v>0</v>
      </c>
      <c r="U33" s="13"/>
    </row>
    <row r="34" spans="1:21" x14ac:dyDescent="0.25">
      <c r="A34" s="5" t="str">
        <f>'Cq and Delta Cq'!A31</f>
        <v>C8</v>
      </c>
      <c r="B34" s="5" t="str">
        <f>'Cq and Delta Cq'!B31</f>
        <v>OM3-011_30 min</v>
      </c>
      <c r="C34" s="6" t="str">
        <f>IF(OR(AND('Cq and Delta Cq'!C31&gt;'VITA Index summary'!$O$15,'Cq and Delta Cq'!C31&lt;'VITA Index summary'!$O$16),AND('Cq and Delta Cq'!D31&gt;'VITA Index summary'!$O$21,'Cq and Delta Cq'!D31&lt;'VITA Index summary'!$O$22)),"CT detected", "CT not detected")</f>
        <v>CT not detected</v>
      </c>
      <c r="D34" s="58" t="str" cm="1">
        <f t="array" ref="D34">IFERROR(_xlfn.IFS(C34="CT not detected","N/A",'Cq and Delta Cq'!C31&gt;'VITA Index summary'!$T$16,"Indeterminate",'Cq and Delta Cq'!D31&gt;'VITA Index summary'!$T$22,"Indeterminate",'Cq and Delta Cq'!C31&lt;'VITA Index summary'!$T$16,2^('Cq and Delta Cq'!I31)/2,'Cq and Delta Cq'!D31&lt;'VITA Index summary'!$T$22,2^('Cq and Delta Cq'!I31)/2),"Indeterminate")</f>
        <v>N/A</v>
      </c>
      <c r="E34" s="58">
        <f t="shared" si="0"/>
        <v>1.57</v>
      </c>
      <c r="F34" s="6" t="str">
        <f>IF(OR(AND('Cq and Delta Cq'!F31&gt;'VITA Index summary'!$O$27,'Cq and Delta Cq'!F31&lt;'VITA Index summary'!$O$28),AND('Cq and Delta Cq'!G31&gt;'VITA Index summary'!$O$33,'Cq and Delta Cq'!G31&lt;'VITA Index summary'!$O$34)),"NG detected", "NG not detected")</f>
        <v>NG detected</v>
      </c>
      <c r="G34" s="58" cm="1">
        <f t="array" ref="G34">IFERROR(_xlfn.IFS(F34="NG not detected","N/A",'Cq and Delta Cq'!F31&gt;'VITA Index summary'!$T$28,"Indeterminate",'Cq and Delta Cq'!G31&gt;'VITA Index summary'!$T$34,"Indeterminate",'Cq and Delta Cq'!F31&lt;'VITA Index summary'!$T$28,2^('Cq and Delta Cq'!J31)/2,'Cq and Delta Cq'!G31&lt;'VITA Index summary'!$T$34,2^('Cq and Delta Cq'!J31)/2),"Indeterminate")</f>
        <v>5.2048198890520672</v>
      </c>
      <c r="H34" s="56">
        <f t="shared" si="1"/>
        <v>1.46</v>
      </c>
      <c r="I34" s="7" t="str">
        <f>IFERROR(IF(AND('VITA Index summary'!$O$39&lt;'Cq and Delta Cq'!E31,'Cq and Delta Cq'!E31&lt;'VITA Index summary'!$O$40),"EC VALID","EC INVALID"),"EC INVALID")</f>
        <v>EC VALID</v>
      </c>
      <c r="M34" s="11"/>
      <c r="N34" s="17" t="s">
        <v>3</v>
      </c>
      <c r="O34" s="1">
        <f>39.4-5</f>
        <v>34.4</v>
      </c>
      <c r="P34" s="13"/>
      <c r="R34" s="11"/>
      <c r="S34" s="17" t="s">
        <v>3</v>
      </c>
      <c r="T34" s="1">
        <f>37-5</f>
        <v>32</v>
      </c>
      <c r="U34" s="13"/>
    </row>
    <row r="35" spans="1:21" ht="15.75" thickBot="1" x14ac:dyDescent="0.3">
      <c r="A35" s="5" t="str">
        <f>'Cq and Delta Cq'!A32</f>
        <v>C9</v>
      </c>
      <c r="B35" s="5" t="str">
        <f>'Cq and Delta Cq'!B32</f>
        <v>OM3-011_60 min</v>
      </c>
      <c r="C35" s="6" t="str">
        <f>IF(OR(AND('Cq and Delta Cq'!C32&gt;'VITA Index summary'!$O$15,'Cq and Delta Cq'!C32&lt;'VITA Index summary'!$O$16),AND('Cq and Delta Cq'!D32&gt;'VITA Index summary'!$O$21,'Cq and Delta Cq'!D32&lt;'VITA Index summary'!$O$22)),"CT detected", "CT not detected")</f>
        <v>CT not detected</v>
      </c>
      <c r="D35" s="58" t="str" cm="1">
        <f t="array" ref="D35">IFERROR(_xlfn.IFS(C35="CT not detected","N/A",'Cq and Delta Cq'!C32&gt;'VITA Index summary'!$T$16,"Indeterminate",'Cq and Delta Cq'!D32&gt;'VITA Index summary'!$T$22,"Indeterminate",'Cq and Delta Cq'!C32&lt;'VITA Index summary'!$T$16,2^('Cq and Delta Cq'!I32)/2,'Cq and Delta Cq'!D32&lt;'VITA Index summary'!$T$22,2^('Cq and Delta Cq'!I32)/2),"Indeterminate")</f>
        <v>N/A</v>
      </c>
      <c r="E35" s="58">
        <f t="shared" si="0"/>
        <v>1.57</v>
      </c>
      <c r="F35" s="6" t="str">
        <f>IF(OR(AND('Cq and Delta Cq'!F32&gt;'VITA Index summary'!$O$27,'Cq and Delta Cq'!F32&lt;'VITA Index summary'!$O$28),AND('Cq and Delta Cq'!G32&gt;'VITA Index summary'!$O$33,'Cq and Delta Cq'!G32&lt;'VITA Index summary'!$O$34)),"NG detected", "NG not detected")</f>
        <v>NG detected</v>
      </c>
      <c r="G35" s="58" t="str" cm="1">
        <f t="array" ref="G35">IFERROR(_xlfn.IFS(F35="NG not detected","N/A",'Cq and Delta Cq'!F32&gt;'VITA Index summary'!$T$28,"Indeterminate",'Cq and Delta Cq'!G32&gt;'VITA Index summary'!$T$34,"Indeterminate",'Cq and Delta Cq'!F32&lt;'VITA Index summary'!$T$28,2^('Cq and Delta Cq'!J32)/2,'Cq and Delta Cq'!G32&lt;'VITA Index summary'!$T$34,2^('Cq and Delta Cq'!J32)/2),"Indeterminate")</f>
        <v>Indeterminate</v>
      </c>
      <c r="H35" s="56">
        <f t="shared" si="1"/>
        <v>1.46</v>
      </c>
      <c r="I35" s="7" t="str">
        <f>IFERROR(IF(AND('VITA Index summary'!$O$39&lt;'Cq and Delta Cq'!E32,'Cq and Delta Cq'!E32&lt;'VITA Index summary'!$O$40),"EC VALID","EC INVALID"),"EC INVALID")</f>
        <v>EC VALID</v>
      </c>
      <c r="M35" s="14"/>
      <c r="N35" s="15"/>
      <c r="O35" s="15"/>
      <c r="P35" s="16"/>
      <c r="R35" s="14"/>
      <c r="S35" s="15"/>
      <c r="T35" s="15"/>
      <c r="U35" s="16"/>
    </row>
    <row r="36" spans="1:21" ht="15.75" thickBot="1" x14ac:dyDescent="0.3">
      <c r="A36" s="5" t="str">
        <f>'Cq and Delta Cq'!A33</f>
        <v>C10</v>
      </c>
      <c r="B36" s="5" t="str">
        <f>'Cq and Delta Cq'!B33</f>
        <v>OM3-011_120 min</v>
      </c>
      <c r="C36" s="6" t="str">
        <f>IF(OR(AND('Cq and Delta Cq'!C33&gt;'VITA Index summary'!$O$15,'Cq and Delta Cq'!C33&lt;'VITA Index summary'!$O$16),AND('Cq and Delta Cq'!D33&gt;'VITA Index summary'!$O$21,'Cq and Delta Cq'!D33&lt;'VITA Index summary'!$O$22)),"CT detected", "CT not detected")</f>
        <v>CT not detected</v>
      </c>
      <c r="D36" s="58" t="str" cm="1">
        <f t="array" ref="D36">IFERROR(_xlfn.IFS(C36="CT not detected","N/A",'Cq and Delta Cq'!C33&gt;'VITA Index summary'!$T$16,"Indeterminate",'Cq and Delta Cq'!D33&gt;'VITA Index summary'!$T$22,"Indeterminate",'Cq and Delta Cq'!C33&lt;'VITA Index summary'!$T$16,2^('Cq and Delta Cq'!I33)/2,'Cq and Delta Cq'!D33&lt;'VITA Index summary'!$T$22,2^('Cq and Delta Cq'!I33)/2),"Indeterminate")</f>
        <v>N/A</v>
      </c>
      <c r="E36" s="58">
        <f t="shared" si="0"/>
        <v>1.57</v>
      </c>
      <c r="F36" s="6" t="str">
        <f>IF(OR(AND('Cq and Delta Cq'!F33&gt;'VITA Index summary'!$O$27,'Cq and Delta Cq'!F33&lt;'VITA Index summary'!$O$28),AND('Cq and Delta Cq'!G33&gt;'VITA Index summary'!$O$33,'Cq and Delta Cq'!G33&lt;'VITA Index summary'!$O$34)),"NG detected", "NG not detected")</f>
        <v>NG detected</v>
      </c>
      <c r="G36" s="58" t="str" cm="1">
        <f t="array" ref="G36">IFERROR(_xlfn.IFS(F36="NG not detected","N/A",'Cq and Delta Cq'!F33&gt;'VITA Index summary'!$T$28,"Indeterminate",'Cq and Delta Cq'!G33&gt;'VITA Index summary'!$T$34,"Indeterminate",'Cq and Delta Cq'!F33&lt;'VITA Index summary'!$T$28,2^('Cq and Delta Cq'!J33)/2,'Cq and Delta Cq'!G33&lt;'VITA Index summary'!$T$34,2^('Cq and Delta Cq'!J33)/2),"Indeterminate")</f>
        <v>Indeterminate</v>
      </c>
      <c r="H36" s="56">
        <f t="shared" si="1"/>
        <v>1.46</v>
      </c>
      <c r="I36" s="7" t="str">
        <f>IFERROR(IF(AND('VITA Index summary'!$O$39&lt;'Cq and Delta Cq'!E33,'Cq and Delta Cq'!E33&lt;'VITA Index summary'!$O$40),"EC VALID","EC INVALID"),"EC INVALID")</f>
        <v>EC VALID</v>
      </c>
    </row>
    <row r="37" spans="1:21" x14ac:dyDescent="0.25">
      <c r="A37" s="5" t="str">
        <f>'Cq and Delta Cq'!A34</f>
        <v>C12</v>
      </c>
      <c r="B37" s="5" t="str">
        <f>'Cq and Delta Cq'!B34</f>
        <v>CT/NG gblock</v>
      </c>
      <c r="C37" s="6" t="str">
        <f>IF(OR(AND('Cq and Delta Cq'!C34&gt;'VITA Index summary'!$O$15,'Cq and Delta Cq'!C34&lt;'VITA Index summary'!$O$16),AND('Cq and Delta Cq'!D34&gt;'VITA Index summary'!$O$21,'Cq and Delta Cq'!D34&lt;'VITA Index summary'!$O$22)),"CT detected", "CT not detected")</f>
        <v>CT detected</v>
      </c>
      <c r="D37" s="58" cm="1">
        <f t="array" ref="D37">IFERROR(_xlfn.IFS(C37="CT not detected","N/A",'Cq and Delta Cq'!C34&gt;'VITA Index summary'!$T$16,"Indeterminate",'Cq and Delta Cq'!D34&gt;'VITA Index summary'!$T$22,"Indeterminate",'Cq and Delta Cq'!C34&lt;'VITA Index summary'!$T$16,2^('Cq and Delta Cq'!I34)/2,'Cq and Delta Cq'!D34&lt;'VITA Index summary'!$T$22,2^('Cq and Delta Cq'!I34)/2),"Indeterminate")</f>
        <v>0.92995031755730517</v>
      </c>
      <c r="E37" s="58">
        <f t="shared" si="0"/>
        <v>1.57</v>
      </c>
      <c r="F37" s="6" t="str">
        <f>IF(OR(AND('Cq and Delta Cq'!F34&gt;'VITA Index summary'!$O$27,'Cq and Delta Cq'!F34&lt;'VITA Index summary'!$O$28),AND('Cq and Delta Cq'!G34&gt;'VITA Index summary'!$O$33,'Cq and Delta Cq'!G34&lt;'VITA Index summary'!$O$34)),"NG detected", "NG not detected")</f>
        <v>NG detected</v>
      </c>
      <c r="G37" s="58" cm="1">
        <f t="array" ref="G37">IFERROR(_xlfn.IFS(F37="NG not detected","N/A",'Cq and Delta Cq'!F34&gt;'VITA Index summary'!$T$28,"Indeterminate",'Cq and Delta Cq'!G34&gt;'VITA Index summary'!$T$34,"Indeterminate",'Cq and Delta Cq'!F34&lt;'VITA Index summary'!$T$28,2^('Cq and Delta Cq'!J34)/2,'Cq and Delta Cq'!G34&lt;'VITA Index summary'!$T$34,2^('Cq and Delta Cq'!J34)/2),"Indeterminate")</f>
        <v>1.1419370724189322</v>
      </c>
      <c r="H37" s="56">
        <f t="shared" si="1"/>
        <v>1.46</v>
      </c>
      <c r="I37" s="7" t="str">
        <f>IFERROR(IF(AND('VITA Index summary'!$O$39&lt;'Cq and Delta Cq'!E34,'Cq and Delta Cq'!E34&lt;'VITA Index summary'!$O$40),"EC VALID","EC INVALID"),"EC INVALID")</f>
        <v>EC INVALID</v>
      </c>
      <c r="M37" s="8"/>
      <c r="N37" s="9"/>
      <c r="O37" s="9"/>
      <c r="P37" s="10"/>
    </row>
    <row r="38" spans="1:21" x14ac:dyDescent="0.25">
      <c r="A38" s="5" t="str">
        <f>'Cq and Delta Cq'!A35</f>
        <v>D1</v>
      </c>
      <c r="B38" s="5" t="str">
        <f>'Cq and Delta Cq'!B35</f>
        <v>OM3-004_0 min</v>
      </c>
      <c r="C38" s="6" t="str">
        <f>IF(OR(AND('Cq and Delta Cq'!C35&gt;'VITA Index summary'!$O$15,'Cq and Delta Cq'!C35&lt;'VITA Index summary'!$O$16),AND('Cq and Delta Cq'!D35&gt;'VITA Index summary'!$O$21,'Cq and Delta Cq'!D35&lt;'VITA Index summary'!$O$22)),"CT detected", "CT not detected")</f>
        <v>CT not detected</v>
      </c>
      <c r="D38" s="58" t="str" cm="1">
        <f t="array" ref="D38">IFERROR(_xlfn.IFS(C38="CT not detected","N/A",'Cq and Delta Cq'!C35&gt;'VITA Index summary'!$T$16,"Indeterminate",'Cq and Delta Cq'!D35&gt;'VITA Index summary'!$T$22,"Indeterminate",'Cq and Delta Cq'!C35&lt;'VITA Index summary'!$T$16,2^('Cq and Delta Cq'!I35)/2,'Cq and Delta Cq'!D35&lt;'VITA Index summary'!$T$22,2^('Cq and Delta Cq'!I35)/2),"Indeterminate")</f>
        <v>N/A</v>
      </c>
      <c r="E38" s="58">
        <f t="shared" si="0"/>
        <v>1.57</v>
      </c>
      <c r="F38" s="6" t="str">
        <f>IF(OR(AND('Cq and Delta Cq'!F35&gt;'VITA Index summary'!$O$27,'Cq and Delta Cq'!F35&lt;'VITA Index summary'!$O$28),AND('Cq and Delta Cq'!G35&gt;'VITA Index summary'!$O$33,'Cq and Delta Cq'!G35&lt;'VITA Index summary'!$O$34)),"NG detected", "NG not detected")</f>
        <v>NG detected</v>
      </c>
      <c r="G38" s="58" cm="1">
        <f t="array" ref="G38">IFERROR(_xlfn.IFS(F38="NG not detected","N/A",'Cq and Delta Cq'!F35&gt;'VITA Index summary'!$T$28,"Indeterminate",'Cq and Delta Cq'!G35&gt;'VITA Index summary'!$T$34,"Indeterminate",'Cq and Delta Cq'!F35&lt;'VITA Index summary'!$T$28,2^('Cq and Delta Cq'!J35)/2,'Cq and Delta Cq'!G35&lt;'VITA Index summary'!$T$34,2^('Cq and Delta Cq'!J35)/2),"Indeterminate")</f>
        <v>1.8791942482762134</v>
      </c>
      <c r="H38" s="56">
        <f t="shared" si="1"/>
        <v>1.46</v>
      </c>
      <c r="I38" s="7" t="str">
        <f>IFERROR(IF(AND('VITA Index summary'!$O$39&lt;'Cq and Delta Cq'!E35,'Cq and Delta Cq'!E35&lt;'VITA Index summary'!$O$40),"EC VALID","EC INVALID"),"EC INVALID")</f>
        <v>EC VALID</v>
      </c>
      <c r="M38" s="11"/>
      <c r="N38" s="12" t="s">
        <v>80</v>
      </c>
      <c r="P38" s="13"/>
    </row>
    <row r="39" spans="1:21" x14ac:dyDescent="0.25">
      <c r="A39" s="5" t="str">
        <f>'Cq and Delta Cq'!A36</f>
        <v>D2</v>
      </c>
      <c r="B39" s="5" t="str">
        <f>'Cq and Delta Cq'!B36</f>
        <v>OM3-004_5 min</v>
      </c>
      <c r="C39" s="6" t="str">
        <f>IF(OR(AND('Cq and Delta Cq'!C36&gt;'VITA Index summary'!$O$15,'Cq and Delta Cq'!C36&lt;'VITA Index summary'!$O$16),AND('Cq and Delta Cq'!D36&gt;'VITA Index summary'!$O$21,'Cq and Delta Cq'!D36&lt;'VITA Index summary'!$O$22)),"CT detected", "CT not detected")</f>
        <v>CT not detected</v>
      </c>
      <c r="D39" s="58" t="str" cm="1">
        <f t="array" ref="D39">IFERROR(_xlfn.IFS(C39="CT not detected","N/A",'Cq and Delta Cq'!C36&gt;'VITA Index summary'!$T$16,"Indeterminate",'Cq and Delta Cq'!D36&gt;'VITA Index summary'!$T$22,"Indeterminate",'Cq and Delta Cq'!C36&lt;'VITA Index summary'!$T$16,2^('Cq and Delta Cq'!I36)/2,'Cq and Delta Cq'!D36&lt;'VITA Index summary'!$T$22,2^('Cq and Delta Cq'!I36)/2),"Indeterminate")</f>
        <v>N/A</v>
      </c>
      <c r="E39" s="58">
        <f t="shared" si="0"/>
        <v>1.57</v>
      </c>
      <c r="F39" s="6" t="str">
        <f>IF(OR(AND('Cq and Delta Cq'!F36&gt;'VITA Index summary'!$O$27,'Cq and Delta Cq'!F36&lt;'VITA Index summary'!$O$28),AND('Cq and Delta Cq'!G36&gt;'VITA Index summary'!$O$33,'Cq and Delta Cq'!G36&lt;'VITA Index summary'!$O$34)),"NG detected", "NG not detected")</f>
        <v>NG detected</v>
      </c>
      <c r="G39" s="58" cm="1">
        <f t="array" ref="G39">IFERROR(_xlfn.IFS(F39="NG not detected","N/A",'Cq and Delta Cq'!F36&gt;'VITA Index summary'!$T$28,"Indeterminate",'Cq and Delta Cq'!G36&gt;'VITA Index summary'!$T$34,"Indeterminate",'Cq and Delta Cq'!F36&lt;'VITA Index summary'!$T$28,2^('Cq and Delta Cq'!J36)/2,'Cq and Delta Cq'!G36&lt;'VITA Index summary'!$T$34,2^('Cq and Delta Cq'!J36)/2),"Indeterminate")</f>
        <v>2.7737398824718542</v>
      </c>
      <c r="H39" s="56">
        <f t="shared" si="1"/>
        <v>1.46</v>
      </c>
      <c r="I39" s="7" t="str">
        <f>IFERROR(IF(AND('VITA Index summary'!$O$39&lt;'Cq and Delta Cq'!E36,'Cq and Delta Cq'!E36&lt;'VITA Index summary'!$O$40),"EC VALID","EC INVALID"),"EC INVALID")</f>
        <v>EC VALID</v>
      </c>
      <c r="M39" s="11"/>
      <c r="N39" s="17" t="s">
        <v>2</v>
      </c>
      <c r="O39" s="1">
        <v>0</v>
      </c>
      <c r="P39" s="13"/>
    </row>
    <row r="40" spans="1:21" x14ac:dyDescent="0.25">
      <c r="A40" s="5" t="str">
        <f>'Cq and Delta Cq'!A37</f>
        <v>D3</v>
      </c>
      <c r="B40" s="5" t="str">
        <f>'Cq and Delta Cq'!B37</f>
        <v>OM3-004_30 min</v>
      </c>
      <c r="C40" s="6" t="str">
        <f>IF(OR(AND('Cq and Delta Cq'!C37&gt;'VITA Index summary'!$O$15,'Cq and Delta Cq'!C37&lt;'VITA Index summary'!$O$16),AND('Cq and Delta Cq'!D37&gt;'VITA Index summary'!$O$21,'Cq and Delta Cq'!D37&lt;'VITA Index summary'!$O$22)),"CT detected", "CT not detected")</f>
        <v>CT not detected</v>
      </c>
      <c r="D40" s="58" t="str" cm="1">
        <f t="array" ref="D40">IFERROR(_xlfn.IFS(C40="CT not detected","N/A",'Cq and Delta Cq'!C37&gt;'VITA Index summary'!$T$16,"Indeterminate",'Cq and Delta Cq'!D37&gt;'VITA Index summary'!$T$22,"Indeterminate",'Cq and Delta Cq'!C37&lt;'VITA Index summary'!$T$16,2^('Cq and Delta Cq'!I37)/2,'Cq and Delta Cq'!D37&lt;'VITA Index summary'!$T$22,2^('Cq and Delta Cq'!I37)/2),"Indeterminate")</f>
        <v>N/A</v>
      </c>
      <c r="E40" s="58">
        <f t="shared" si="0"/>
        <v>1.57</v>
      </c>
      <c r="F40" s="6" t="str">
        <f>IF(OR(AND('Cq and Delta Cq'!F37&gt;'VITA Index summary'!$O$27,'Cq and Delta Cq'!F37&lt;'VITA Index summary'!$O$28),AND('Cq and Delta Cq'!G37&gt;'VITA Index summary'!$O$33,'Cq and Delta Cq'!G37&lt;'VITA Index summary'!$O$34)),"NG detected", "NG not detected")</f>
        <v>NG detected</v>
      </c>
      <c r="G40" s="58" cm="1">
        <f t="array" ref="G40">IFERROR(_xlfn.IFS(F40="NG not detected","N/A",'Cq and Delta Cq'!F37&gt;'VITA Index summary'!$T$28,"Indeterminate",'Cq and Delta Cq'!G37&gt;'VITA Index summary'!$T$34,"Indeterminate",'Cq and Delta Cq'!F37&lt;'VITA Index summary'!$T$28,2^('Cq and Delta Cq'!J37)/2,'Cq and Delta Cq'!G37&lt;'VITA Index summary'!$T$34,2^('Cq and Delta Cq'!J37)/2),"Indeterminate")</f>
        <v>2.6331606737729762</v>
      </c>
      <c r="H40" s="56">
        <f t="shared" si="1"/>
        <v>1.46</v>
      </c>
      <c r="I40" s="7" t="str">
        <f>IFERROR(IF(AND('VITA Index summary'!$O$39&lt;'Cq and Delta Cq'!E37,'Cq and Delta Cq'!E37&lt;'VITA Index summary'!$O$40),"EC VALID","EC INVALID"),"EC INVALID")</f>
        <v>EC VALID</v>
      </c>
      <c r="M40" s="11"/>
      <c r="N40" s="17" t="s">
        <v>3</v>
      </c>
      <c r="O40" s="1">
        <f>39.5-5</f>
        <v>34.5</v>
      </c>
      <c r="P40" s="13"/>
    </row>
    <row r="41" spans="1:21" ht="15.75" thickBot="1" x14ac:dyDescent="0.3">
      <c r="A41" s="5" t="str">
        <f>'Cq and Delta Cq'!A38</f>
        <v>D4</v>
      </c>
      <c r="B41" s="5" t="str">
        <f>'Cq and Delta Cq'!B38</f>
        <v>OM3-004_60 min</v>
      </c>
      <c r="C41" s="6" t="str">
        <f>IF(OR(AND('Cq and Delta Cq'!C38&gt;'VITA Index summary'!$O$15,'Cq and Delta Cq'!C38&lt;'VITA Index summary'!$O$16),AND('Cq and Delta Cq'!D38&gt;'VITA Index summary'!$O$21,'Cq and Delta Cq'!D38&lt;'VITA Index summary'!$O$22)),"CT detected", "CT not detected")</f>
        <v>CT not detected</v>
      </c>
      <c r="D41" s="58" t="str" cm="1">
        <f t="array" ref="D41">IFERROR(_xlfn.IFS(C41="CT not detected","N/A",'Cq and Delta Cq'!C38&gt;'VITA Index summary'!$T$16,"Indeterminate",'Cq and Delta Cq'!D38&gt;'VITA Index summary'!$T$22,"Indeterminate",'Cq and Delta Cq'!C38&lt;'VITA Index summary'!$T$16,2^('Cq and Delta Cq'!I38)/2,'Cq and Delta Cq'!D38&lt;'VITA Index summary'!$T$22,2^('Cq and Delta Cq'!I38)/2),"Indeterminate")</f>
        <v>N/A</v>
      </c>
      <c r="E41" s="58">
        <f t="shared" si="0"/>
        <v>1.57</v>
      </c>
      <c r="F41" s="6" t="str">
        <f>IF(OR(AND('Cq and Delta Cq'!F38&gt;'VITA Index summary'!$O$27,'Cq and Delta Cq'!F38&lt;'VITA Index summary'!$O$28),AND('Cq and Delta Cq'!G38&gt;'VITA Index summary'!$O$33,'Cq and Delta Cq'!G38&lt;'VITA Index summary'!$O$34)),"NG detected", "NG not detected")</f>
        <v>NG detected</v>
      </c>
      <c r="G41" s="58" cm="1">
        <f t="array" ref="G41">IFERROR(_xlfn.IFS(F41="NG not detected","N/A",'Cq and Delta Cq'!F38&gt;'VITA Index summary'!$T$28,"Indeterminate",'Cq and Delta Cq'!G38&gt;'VITA Index summary'!$T$34,"Indeterminate",'Cq and Delta Cq'!F38&lt;'VITA Index summary'!$T$28,2^('Cq and Delta Cq'!J38)/2,'Cq and Delta Cq'!G38&lt;'VITA Index summary'!$T$34,2^('Cq and Delta Cq'!J38)/2),"Indeterminate")</f>
        <v>2.0134597597891659</v>
      </c>
      <c r="H41" s="56">
        <f t="shared" si="1"/>
        <v>1.46</v>
      </c>
      <c r="I41" s="7" t="str">
        <f>IFERROR(IF(AND('VITA Index summary'!$O$39&lt;'Cq and Delta Cq'!E38,'Cq and Delta Cq'!E38&lt;'VITA Index summary'!$O$40),"EC VALID","EC INVALID"),"EC INVALID")</f>
        <v>EC VALID</v>
      </c>
      <c r="M41" s="14"/>
      <c r="N41" s="15"/>
      <c r="O41" s="15"/>
      <c r="P41" s="16"/>
    </row>
    <row r="42" spans="1:21" x14ac:dyDescent="0.25">
      <c r="A42" s="5" t="str">
        <f>'Cq and Delta Cq'!A39</f>
        <v>D5</v>
      </c>
      <c r="B42" s="5" t="str">
        <f>'Cq and Delta Cq'!B39</f>
        <v>OM3-004_120 min</v>
      </c>
      <c r="C42" s="6" t="str">
        <f>IF(OR(AND('Cq and Delta Cq'!C39&gt;'VITA Index summary'!$O$15,'Cq and Delta Cq'!C39&lt;'VITA Index summary'!$O$16),AND('Cq and Delta Cq'!D39&gt;'VITA Index summary'!$O$21,'Cq and Delta Cq'!D39&lt;'VITA Index summary'!$O$22)),"CT detected", "CT not detected")</f>
        <v>CT not detected</v>
      </c>
      <c r="D42" s="58" t="str" cm="1">
        <f t="array" ref="D42">IFERROR(_xlfn.IFS(C42="CT not detected","N/A",'Cq and Delta Cq'!C39&gt;'VITA Index summary'!$T$16,"Indeterminate",'Cq and Delta Cq'!D39&gt;'VITA Index summary'!$T$22,"Indeterminate",'Cq and Delta Cq'!C39&lt;'VITA Index summary'!$T$16,2^('Cq and Delta Cq'!I39)/2,'Cq and Delta Cq'!D39&lt;'VITA Index summary'!$T$22,2^('Cq and Delta Cq'!I39)/2),"Indeterminate")</f>
        <v>N/A</v>
      </c>
      <c r="E42" s="58">
        <f t="shared" si="0"/>
        <v>1.57</v>
      </c>
      <c r="F42" s="6" t="str">
        <f>IF(OR(AND('Cq and Delta Cq'!F39&gt;'VITA Index summary'!$O$27,'Cq and Delta Cq'!F39&lt;'VITA Index summary'!$O$28),AND('Cq and Delta Cq'!G39&gt;'VITA Index summary'!$O$33,'Cq and Delta Cq'!G39&lt;'VITA Index summary'!$O$34)),"NG detected", "NG not detected")</f>
        <v>NG detected</v>
      </c>
      <c r="G42" s="58" cm="1">
        <f t="array" ref="G42">IFERROR(_xlfn.IFS(F42="NG not detected","N/A",'Cq and Delta Cq'!F39&gt;'VITA Index summary'!$T$28,"Indeterminate",'Cq and Delta Cq'!G39&gt;'VITA Index summary'!$T$34,"Indeterminate",'Cq and Delta Cq'!F39&lt;'VITA Index summary'!$T$28,2^('Cq and Delta Cq'!J39)/2,'Cq and Delta Cq'!G39&lt;'VITA Index summary'!$T$34,2^('Cq and Delta Cq'!J39)/2),"Indeterminate")</f>
        <v>2.5457299937335618</v>
      </c>
      <c r="H42" s="56">
        <f t="shared" si="1"/>
        <v>1.46</v>
      </c>
      <c r="I42" s="7" t="str">
        <f>IFERROR(IF(AND('VITA Index summary'!$O$39&lt;'Cq and Delta Cq'!E39,'Cq and Delta Cq'!E39&lt;'VITA Index summary'!$O$40),"EC VALID","EC INVALID"),"EC INVALID")</f>
        <v>EC VALID</v>
      </c>
    </row>
    <row r="43" spans="1:21" x14ac:dyDescent="0.25">
      <c r="A43" s="5" t="str">
        <f>'Cq and Delta Cq'!A40</f>
        <v>D6</v>
      </c>
      <c r="B43" s="5" t="str">
        <f>'Cq and Delta Cq'!B40</f>
        <v>OM3-012_0 min</v>
      </c>
      <c r="C43" s="6" t="str">
        <f>IF(OR(AND('Cq and Delta Cq'!C40&gt;'VITA Index summary'!$O$15,'Cq and Delta Cq'!C40&lt;'VITA Index summary'!$O$16),AND('Cq and Delta Cq'!D40&gt;'VITA Index summary'!$O$21,'Cq and Delta Cq'!D40&lt;'VITA Index summary'!$O$22)),"CT detected", "CT not detected")</f>
        <v>CT not detected</v>
      </c>
      <c r="D43" s="58" t="str" cm="1">
        <f t="array" ref="D43">IFERROR(_xlfn.IFS(C43="CT not detected","N/A",'Cq and Delta Cq'!C40&gt;'VITA Index summary'!$T$16,"Indeterminate",'Cq and Delta Cq'!D40&gt;'VITA Index summary'!$T$22,"Indeterminate",'Cq and Delta Cq'!C40&lt;'VITA Index summary'!$T$16,2^('Cq and Delta Cq'!I40)/2,'Cq and Delta Cq'!D40&lt;'VITA Index summary'!$T$22,2^('Cq and Delta Cq'!I40)/2),"Indeterminate")</f>
        <v>N/A</v>
      </c>
      <c r="E43" s="58">
        <f t="shared" si="0"/>
        <v>1.57</v>
      </c>
      <c r="F43" s="6" t="str">
        <f>IF(OR(AND('Cq and Delta Cq'!F40&gt;'VITA Index summary'!$O$27,'Cq and Delta Cq'!F40&lt;'VITA Index summary'!$O$28),AND('Cq and Delta Cq'!G40&gt;'VITA Index summary'!$O$33,'Cq and Delta Cq'!G40&lt;'VITA Index summary'!$O$34)),"NG detected", "NG not detected")</f>
        <v>NG detected</v>
      </c>
      <c r="G43" s="58" t="str" cm="1">
        <f t="array" ref="G43">IFERROR(_xlfn.IFS(F43="NG not detected","N/A",'Cq and Delta Cq'!F40&gt;'VITA Index summary'!$T$28,"Indeterminate",'Cq and Delta Cq'!G40&gt;'VITA Index summary'!$T$34,"Indeterminate",'Cq and Delta Cq'!F40&lt;'VITA Index summary'!$T$28,2^('Cq and Delta Cq'!J40)/2,'Cq and Delta Cq'!G40&lt;'VITA Index summary'!$T$34,2^('Cq and Delta Cq'!J40)/2),"Indeterminate")</f>
        <v>Indeterminate</v>
      </c>
      <c r="H43" s="56">
        <f t="shared" si="1"/>
        <v>1.46</v>
      </c>
      <c r="I43" s="7" t="str">
        <f>IFERROR(IF(AND('VITA Index summary'!$O$39&lt;'Cq and Delta Cq'!E40,'Cq and Delta Cq'!E40&lt;'VITA Index summary'!$O$40),"EC VALID","EC INVALID"),"EC INVALID")</f>
        <v>EC VALID</v>
      </c>
    </row>
    <row r="44" spans="1:21" x14ac:dyDescent="0.25">
      <c r="A44" s="5" t="str">
        <f>'Cq and Delta Cq'!A41</f>
        <v>D7</v>
      </c>
      <c r="B44" s="5" t="str">
        <f>'Cq and Delta Cq'!B41</f>
        <v>OM3-012_5 min</v>
      </c>
      <c r="C44" s="6" t="str">
        <f>IF(OR(AND('Cq and Delta Cq'!C41&gt;'VITA Index summary'!$O$15,'Cq and Delta Cq'!C41&lt;'VITA Index summary'!$O$16),AND('Cq and Delta Cq'!D41&gt;'VITA Index summary'!$O$21,'Cq and Delta Cq'!D41&lt;'VITA Index summary'!$O$22)),"CT detected", "CT not detected")</f>
        <v>CT not detected</v>
      </c>
      <c r="D44" s="58" t="str" cm="1">
        <f t="array" ref="D44">IFERROR(_xlfn.IFS(C44="CT not detected","N/A",'Cq and Delta Cq'!C41&gt;'VITA Index summary'!$T$16,"Indeterminate",'Cq and Delta Cq'!D41&gt;'VITA Index summary'!$T$22,"Indeterminate",'Cq and Delta Cq'!C41&lt;'VITA Index summary'!$T$16,2^('Cq and Delta Cq'!I41)/2,'Cq and Delta Cq'!D41&lt;'VITA Index summary'!$T$22,2^('Cq and Delta Cq'!I41)/2),"Indeterminate")</f>
        <v>N/A</v>
      </c>
      <c r="E44" s="58">
        <f t="shared" si="0"/>
        <v>1.57</v>
      </c>
      <c r="F44" s="6" t="str">
        <f>IF(OR(AND('Cq and Delta Cq'!F41&gt;'VITA Index summary'!$O$27,'Cq and Delta Cq'!F41&lt;'VITA Index summary'!$O$28),AND('Cq and Delta Cq'!G41&gt;'VITA Index summary'!$O$33,'Cq and Delta Cq'!G41&lt;'VITA Index summary'!$O$34)),"NG detected", "NG not detected")</f>
        <v>NG detected</v>
      </c>
      <c r="G44" s="58" t="str" cm="1">
        <f t="array" ref="G44">IFERROR(_xlfn.IFS(F44="NG not detected","N/A",'Cq and Delta Cq'!F41&gt;'VITA Index summary'!$T$28,"Indeterminate",'Cq and Delta Cq'!G41&gt;'VITA Index summary'!$T$34,"Indeterminate",'Cq and Delta Cq'!F41&lt;'VITA Index summary'!$T$28,2^('Cq and Delta Cq'!J41)/2,'Cq and Delta Cq'!G41&lt;'VITA Index summary'!$T$34,2^('Cq and Delta Cq'!J41)/2),"Indeterminate")</f>
        <v>Indeterminate</v>
      </c>
      <c r="H44" s="56">
        <f t="shared" si="1"/>
        <v>1.46</v>
      </c>
      <c r="I44" s="7" t="str">
        <f>IFERROR(IF(AND('VITA Index summary'!$O$39&lt;'Cq and Delta Cq'!E41,'Cq and Delta Cq'!E41&lt;'VITA Index summary'!$O$40),"EC VALID","EC INVALID"),"EC INVALID")</f>
        <v>EC VALID</v>
      </c>
    </row>
    <row r="45" spans="1:21" x14ac:dyDescent="0.25">
      <c r="A45" s="5" t="str">
        <f>'Cq and Delta Cq'!A42</f>
        <v>D8</v>
      </c>
      <c r="B45" s="5" t="str">
        <f>'Cq and Delta Cq'!B42</f>
        <v>OM3-012_30 min</v>
      </c>
      <c r="C45" s="6" t="str">
        <f>IF(OR(AND('Cq and Delta Cq'!C42&gt;'VITA Index summary'!$O$15,'Cq and Delta Cq'!C42&lt;'VITA Index summary'!$O$16),AND('Cq and Delta Cq'!D42&gt;'VITA Index summary'!$O$21,'Cq and Delta Cq'!D42&lt;'VITA Index summary'!$O$22)),"CT detected", "CT not detected")</f>
        <v>CT not detected</v>
      </c>
      <c r="D45" s="58" t="str" cm="1">
        <f t="array" ref="D45">IFERROR(_xlfn.IFS(C45="CT not detected","N/A",'Cq and Delta Cq'!C42&gt;'VITA Index summary'!$T$16,"Indeterminate",'Cq and Delta Cq'!D42&gt;'VITA Index summary'!$T$22,"Indeterminate",'Cq and Delta Cq'!C42&lt;'VITA Index summary'!$T$16,2^('Cq and Delta Cq'!I42)/2,'Cq and Delta Cq'!D42&lt;'VITA Index summary'!$T$22,2^('Cq and Delta Cq'!I42)/2),"Indeterminate")</f>
        <v>N/A</v>
      </c>
      <c r="E45" s="58">
        <f t="shared" si="0"/>
        <v>1.57</v>
      </c>
      <c r="F45" s="6" t="str">
        <f>IF(OR(AND('Cq and Delta Cq'!F42&gt;'VITA Index summary'!$O$27,'Cq and Delta Cq'!F42&lt;'VITA Index summary'!$O$28),AND('Cq and Delta Cq'!G42&gt;'VITA Index summary'!$O$33,'Cq and Delta Cq'!G42&lt;'VITA Index summary'!$O$34)),"NG detected", "NG not detected")</f>
        <v>NG detected</v>
      </c>
      <c r="G45" s="58" cm="1">
        <f t="array" ref="G45">IFERROR(_xlfn.IFS(F45="NG not detected","N/A",'Cq and Delta Cq'!F42&gt;'VITA Index summary'!$T$28,"Indeterminate",'Cq and Delta Cq'!G42&gt;'VITA Index summary'!$T$34,"Indeterminate",'Cq and Delta Cq'!F42&lt;'VITA Index summary'!$T$28,2^('Cq and Delta Cq'!J42)/2,'Cq and Delta Cq'!G42&lt;'VITA Index summary'!$T$34,2^('Cq and Delta Cq'!J42)/2),"Indeterminate")</f>
        <v>1.4888619403748775</v>
      </c>
      <c r="H45" s="56">
        <f t="shared" si="1"/>
        <v>1.46</v>
      </c>
      <c r="I45" s="7" t="str">
        <f>IFERROR(IF(AND('VITA Index summary'!$O$39&lt;'Cq and Delta Cq'!E42,'Cq and Delta Cq'!E42&lt;'VITA Index summary'!$O$40),"EC VALID","EC INVALID"),"EC INVALID")</f>
        <v>EC VALID</v>
      </c>
    </row>
    <row r="46" spans="1:21" x14ac:dyDescent="0.25">
      <c r="A46" s="5" t="str">
        <f>'Cq and Delta Cq'!A43</f>
        <v>D9</v>
      </c>
      <c r="B46" s="5" t="str">
        <f>'Cq and Delta Cq'!B43</f>
        <v>OM3-012_60 min</v>
      </c>
      <c r="C46" s="6" t="str">
        <f>IF(OR(AND('Cq and Delta Cq'!C43&gt;'VITA Index summary'!$O$15,'Cq and Delta Cq'!C43&lt;'VITA Index summary'!$O$16),AND('Cq and Delta Cq'!D43&gt;'VITA Index summary'!$O$21,'Cq and Delta Cq'!D43&lt;'VITA Index summary'!$O$22)),"CT detected", "CT not detected")</f>
        <v>CT not detected</v>
      </c>
      <c r="D46" s="58" t="str" cm="1">
        <f t="array" ref="D46">IFERROR(_xlfn.IFS(C46="CT not detected","N/A",'Cq and Delta Cq'!C43&gt;'VITA Index summary'!$T$16,"Indeterminate",'Cq and Delta Cq'!D43&gt;'VITA Index summary'!$T$22,"Indeterminate",'Cq and Delta Cq'!C43&lt;'VITA Index summary'!$T$16,2^('Cq and Delta Cq'!I43)/2,'Cq and Delta Cq'!D43&lt;'VITA Index summary'!$T$22,2^('Cq and Delta Cq'!I43)/2),"Indeterminate")</f>
        <v>N/A</v>
      </c>
      <c r="E46" s="58">
        <f t="shared" si="0"/>
        <v>1.57</v>
      </c>
      <c r="F46" s="6" t="str">
        <f>IF(OR(AND('Cq and Delta Cq'!F43&gt;'VITA Index summary'!$O$27,'Cq and Delta Cq'!F43&lt;'VITA Index summary'!$O$28),AND('Cq and Delta Cq'!G43&gt;'VITA Index summary'!$O$33,'Cq and Delta Cq'!G43&lt;'VITA Index summary'!$O$34)),"NG detected", "NG not detected")</f>
        <v>NG detected</v>
      </c>
      <c r="G46" s="58" t="str" cm="1">
        <f t="array" ref="G46">IFERROR(_xlfn.IFS(F46="NG not detected","N/A",'Cq and Delta Cq'!F43&gt;'VITA Index summary'!$T$28,"Indeterminate",'Cq and Delta Cq'!G43&gt;'VITA Index summary'!$T$34,"Indeterminate",'Cq and Delta Cq'!F43&lt;'VITA Index summary'!$T$28,2^('Cq and Delta Cq'!J43)/2,'Cq and Delta Cq'!G43&lt;'VITA Index summary'!$T$34,2^('Cq and Delta Cq'!J43)/2),"Indeterminate")</f>
        <v>Indeterminate</v>
      </c>
      <c r="H46" s="56">
        <f t="shared" si="1"/>
        <v>1.46</v>
      </c>
      <c r="I46" s="7" t="str">
        <f>IFERROR(IF(AND('VITA Index summary'!$O$39&lt;'Cq and Delta Cq'!E43,'Cq and Delta Cq'!E43&lt;'VITA Index summary'!$O$40),"EC VALID","EC INVALID"),"EC INVALID")</f>
        <v>EC VALID</v>
      </c>
    </row>
    <row r="47" spans="1:21" x14ac:dyDescent="0.25">
      <c r="A47" s="5" t="str">
        <f>'Cq and Delta Cq'!A44</f>
        <v>D10</v>
      </c>
      <c r="B47" s="5" t="str">
        <f>'Cq and Delta Cq'!B44</f>
        <v>OM3-012_120 min</v>
      </c>
      <c r="C47" s="6" t="str">
        <f>IF(OR(AND('Cq and Delta Cq'!C44&gt;'VITA Index summary'!$O$15,'Cq and Delta Cq'!C44&lt;'VITA Index summary'!$O$16),AND('Cq and Delta Cq'!D44&gt;'VITA Index summary'!$O$21,'Cq and Delta Cq'!D44&lt;'VITA Index summary'!$O$22)),"CT detected", "CT not detected")</f>
        <v>CT not detected</v>
      </c>
      <c r="D47" s="58" t="str" cm="1">
        <f t="array" ref="D47">IFERROR(_xlfn.IFS(C47="CT not detected","N/A",'Cq and Delta Cq'!C44&gt;'VITA Index summary'!$T$16,"Indeterminate",'Cq and Delta Cq'!D44&gt;'VITA Index summary'!$T$22,"Indeterminate",'Cq and Delta Cq'!C44&lt;'VITA Index summary'!$T$16,2^('Cq and Delta Cq'!I44)/2,'Cq and Delta Cq'!D44&lt;'VITA Index summary'!$T$22,2^('Cq and Delta Cq'!I44)/2),"Indeterminate")</f>
        <v>N/A</v>
      </c>
      <c r="E47" s="58">
        <f t="shared" si="0"/>
        <v>1.57</v>
      </c>
      <c r="F47" s="6" t="str">
        <f>IF(OR(AND('Cq and Delta Cq'!F44&gt;'VITA Index summary'!$O$27,'Cq and Delta Cq'!F44&lt;'VITA Index summary'!$O$28),AND('Cq and Delta Cq'!G44&gt;'VITA Index summary'!$O$33,'Cq and Delta Cq'!G44&lt;'VITA Index summary'!$O$34)),"NG detected", "NG not detected")</f>
        <v>NG detected</v>
      </c>
      <c r="G47" s="58" cm="1">
        <f t="array" ref="G47">IFERROR(_xlfn.IFS(F47="NG not detected","N/A",'Cq and Delta Cq'!F44&gt;'VITA Index summary'!$T$28,"Indeterminate",'Cq and Delta Cq'!G44&gt;'VITA Index summary'!$T$34,"Indeterminate",'Cq and Delta Cq'!F44&lt;'VITA Index summary'!$T$28,2^('Cq and Delta Cq'!J44)/2,'Cq and Delta Cq'!G44&lt;'VITA Index summary'!$T$34,2^('Cq and Delta Cq'!J44)/2),"Indeterminate")</f>
        <v>2.9811025131279805</v>
      </c>
      <c r="H47" s="56">
        <f t="shared" si="1"/>
        <v>1.46</v>
      </c>
      <c r="I47" s="7" t="str">
        <f>IFERROR(IF(AND('VITA Index summary'!$O$39&lt;'Cq and Delta Cq'!E44,'Cq and Delta Cq'!E44&lt;'VITA Index summary'!$O$40),"EC VALID","EC INVALID"),"EC INVALID")</f>
        <v>EC VALID</v>
      </c>
    </row>
    <row r="48" spans="1:21" x14ac:dyDescent="0.25">
      <c r="A48" s="5" t="str">
        <f>'Cq and Delta Cq'!A45</f>
        <v>E1</v>
      </c>
      <c r="B48" s="5" t="str">
        <f>'Cq and Delta Cq'!B45</f>
        <v>OM3-005_0 min</v>
      </c>
      <c r="C48" s="6" t="str">
        <f>IF(OR(AND('Cq and Delta Cq'!C45&gt;'VITA Index summary'!$O$15,'Cq and Delta Cq'!C45&lt;'VITA Index summary'!$O$16),AND('Cq and Delta Cq'!D45&gt;'VITA Index summary'!$O$21,'Cq and Delta Cq'!D45&lt;'VITA Index summary'!$O$22)),"CT detected", "CT not detected")</f>
        <v>CT not detected</v>
      </c>
      <c r="D48" s="58" t="str" cm="1">
        <f t="array" ref="D48">IFERROR(_xlfn.IFS(C48="CT not detected","N/A",'Cq and Delta Cq'!C45&gt;'VITA Index summary'!$T$16,"Indeterminate",'Cq and Delta Cq'!D45&gt;'VITA Index summary'!$T$22,"Indeterminate",'Cq and Delta Cq'!C45&lt;'VITA Index summary'!$T$16,2^('Cq and Delta Cq'!I45)/2,'Cq and Delta Cq'!D45&lt;'VITA Index summary'!$T$22,2^('Cq and Delta Cq'!I45)/2),"Indeterminate")</f>
        <v>N/A</v>
      </c>
      <c r="E48" s="58">
        <f t="shared" si="0"/>
        <v>1.57</v>
      </c>
      <c r="F48" s="6" t="str">
        <f>IF(OR(AND('Cq and Delta Cq'!F45&gt;'VITA Index summary'!$O$27,'Cq and Delta Cq'!F45&lt;'VITA Index summary'!$O$28),AND('Cq and Delta Cq'!G45&gt;'VITA Index summary'!$O$33,'Cq and Delta Cq'!G45&lt;'VITA Index summary'!$O$34)),"NG detected", "NG not detected")</f>
        <v>NG detected</v>
      </c>
      <c r="G48" s="58" cm="1">
        <f t="array" ref="G48">IFERROR(_xlfn.IFS(F48="NG not detected","N/A",'Cq and Delta Cq'!F45&gt;'VITA Index summary'!$T$28,"Indeterminate",'Cq and Delta Cq'!G45&gt;'VITA Index summary'!$T$34,"Indeterminate",'Cq and Delta Cq'!F45&lt;'VITA Index summary'!$T$28,2^('Cq and Delta Cq'!J45)/2,'Cq and Delta Cq'!G45&lt;'VITA Index summary'!$T$34,2^('Cq and Delta Cq'!J45)/2),"Indeterminate")</f>
        <v>4.8380393443762593</v>
      </c>
      <c r="H48" s="56">
        <f t="shared" si="1"/>
        <v>1.46</v>
      </c>
      <c r="I48" s="7" t="str">
        <f>IFERROR(IF(AND('VITA Index summary'!$O$39&lt;'Cq and Delta Cq'!E45,'Cq and Delta Cq'!E45&lt;'VITA Index summary'!$O$40),"EC VALID","EC INVALID"),"EC INVALID")</f>
        <v>EC VALID</v>
      </c>
    </row>
    <row r="49" spans="1:9" x14ac:dyDescent="0.25">
      <c r="A49" s="5" t="str">
        <f>'Cq and Delta Cq'!A46</f>
        <v>E2</v>
      </c>
      <c r="B49" s="5" t="str">
        <f>'Cq and Delta Cq'!B46</f>
        <v>OM3-005_5 min</v>
      </c>
      <c r="C49" s="6" t="str">
        <f>IF(OR(AND('Cq and Delta Cq'!C46&gt;'VITA Index summary'!$O$15,'Cq and Delta Cq'!C46&lt;'VITA Index summary'!$O$16),AND('Cq and Delta Cq'!D46&gt;'VITA Index summary'!$O$21,'Cq and Delta Cq'!D46&lt;'VITA Index summary'!$O$22)),"CT detected", "CT not detected")</f>
        <v>CT not detected</v>
      </c>
      <c r="D49" s="58" t="str" cm="1">
        <f t="array" ref="D49">IFERROR(_xlfn.IFS(C49="CT not detected","N/A",'Cq and Delta Cq'!C46&gt;'VITA Index summary'!$T$16,"Indeterminate",'Cq and Delta Cq'!D46&gt;'VITA Index summary'!$T$22,"Indeterminate",'Cq and Delta Cq'!C46&lt;'VITA Index summary'!$T$16,2^('Cq and Delta Cq'!I46)/2,'Cq and Delta Cq'!D46&lt;'VITA Index summary'!$T$22,2^('Cq and Delta Cq'!I46)/2),"Indeterminate")</f>
        <v>N/A</v>
      </c>
      <c r="E49" s="58">
        <f t="shared" si="0"/>
        <v>1.57</v>
      </c>
      <c r="F49" s="6" t="str">
        <f>IF(OR(AND('Cq and Delta Cq'!F46&gt;'VITA Index summary'!$O$27,'Cq and Delta Cq'!F46&lt;'VITA Index summary'!$O$28),AND('Cq and Delta Cq'!G46&gt;'VITA Index summary'!$O$33,'Cq and Delta Cq'!G46&lt;'VITA Index summary'!$O$34)),"NG detected", "NG not detected")</f>
        <v>NG detected</v>
      </c>
      <c r="G49" s="58" cm="1">
        <f t="array" ref="G49">IFERROR(_xlfn.IFS(F49="NG not detected","N/A",'Cq and Delta Cq'!F46&gt;'VITA Index summary'!$T$28,"Indeterminate",'Cq and Delta Cq'!G46&gt;'VITA Index summary'!$T$34,"Indeterminate",'Cq and Delta Cq'!F46&lt;'VITA Index summary'!$T$28,2^('Cq and Delta Cq'!J46)/2,'Cq and Delta Cq'!G46&lt;'VITA Index summary'!$T$34,2^('Cq and Delta Cq'!J46)/2),"Indeterminate")</f>
        <v>2.9380591895880861</v>
      </c>
      <c r="H49" s="56">
        <f t="shared" si="1"/>
        <v>1.46</v>
      </c>
      <c r="I49" s="7" t="str">
        <f>IFERROR(IF(AND('VITA Index summary'!$O$39&lt;'Cq and Delta Cq'!E46,'Cq and Delta Cq'!E46&lt;'VITA Index summary'!$O$40),"EC VALID","EC INVALID"),"EC INVALID")</f>
        <v>EC VALID</v>
      </c>
    </row>
    <row r="50" spans="1:9" x14ac:dyDescent="0.25">
      <c r="A50" s="5" t="str">
        <f>'Cq and Delta Cq'!A47</f>
        <v>E3</v>
      </c>
      <c r="B50" s="5" t="str">
        <f>'Cq and Delta Cq'!B47</f>
        <v>OM3-005_30 min</v>
      </c>
      <c r="C50" s="6" t="str">
        <f>IF(OR(AND('Cq and Delta Cq'!C47&gt;'VITA Index summary'!$O$15,'Cq and Delta Cq'!C47&lt;'VITA Index summary'!$O$16),AND('Cq and Delta Cq'!D47&gt;'VITA Index summary'!$O$21,'Cq and Delta Cq'!D47&lt;'VITA Index summary'!$O$22)),"CT detected", "CT not detected")</f>
        <v>CT not detected</v>
      </c>
      <c r="D50" s="58" t="str" cm="1">
        <f t="array" ref="D50">IFERROR(_xlfn.IFS(C50="CT not detected","N/A",'Cq and Delta Cq'!C47&gt;'VITA Index summary'!$T$16,"Indeterminate",'Cq and Delta Cq'!D47&gt;'VITA Index summary'!$T$22,"Indeterminate",'Cq and Delta Cq'!C47&lt;'VITA Index summary'!$T$16,2^('Cq and Delta Cq'!I47)/2,'Cq and Delta Cq'!D47&lt;'VITA Index summary'!$T$22,2^('Cq and Delta Cq'!I47)/2),"Indeterminate")</f>
        <v>N/A</v>
      </c>
      <c r="E50" s="58">
        <f t="shared" si="0"/>
        <v>1.57</v>
      </c>
      <c r="F50" s="6" t="str">
        <f>IF(OR(AND('Cq and Delta Cq'!F47&gt;'VITA Index summary'!$O$27,'Cq and Delta Cq'!F47&lt;'VITA Index summary'!$O$28),AND('Cq and Delta Cq'!G47&gt;'VITA Index summary'!$O$33,'Cq and Delta Cq'!G47&lt;'VITA Index summary'!$O$34)),"NG detected", "NG not detected")</f>
        <v>NG detected</v>
      </c>
      <c r="G50" s="58" cm="1">
        <f t="array" ref="G50">IFERROR(_xlfn.IFS(F50="NG not detected","N/A",'Cq and Delta Cq'!F47&gt;'VITA Index summary'!$T$28,"Indeterminate",'Cq and Delta Cq'!G47&gt;'VITA Index summary'!$T$34,"Indeterminate",'Cq and Delta Cq'!F47&lt;'VITA Index summary'!$T$28,2^('Cq and Delta Cq'!J47)/2,'Cq and Delta Cq'!G47&lt;'VITA Index summary'!$T$34,2^('Cq and Delta Cq'!J47)/2),"Indeterminate")</f>
        <v>3.8382616013067463</v>
      </c>
      <c r="H50" s="56">
        <f t="shared" si="1"/>
        <v>1.46</v>
      </c>
      <c r="I50" s="7" t="str">
        <f>IFERROR(IF(AND('VITA Index summary'!$O$39&lt;'Cq and Delta Cq'!E47,'Cq and Delta Cq'!E47&lt;'VITA Index summary'!$O$40),"EC VALID","EC INVALID"),"EC INVALID")</f>
        <v>EC VALID</v>
      </c>
    </row>
    <row r="51" spans="1:9" x14ac:dyDescent="0.25">
      <c r="A51" s="5" t="str">
        <f>'Cq and Delta Cq'!A48</f>
        <v>E4</v>
      </c>
      <c r="B51" s="5" t="str">
        <f>'Cq and Delta Cq'!B48</f>
        <v>OM3-005_60 min</v>
      </c>
      <c r="C51" s="6" t="str">
        <f>IF(OR(AND('Cq and Delta Cq'!C48&gt;'VITA Index summary'!$O$15,'Cq and Delta Cq'!C48&lt;'VITA Index summary'!$O$16),AND('Cq and Delta Cq'!D48&gt;'VITA Index summary'!$O$21,'Cq and Delta Cq'!D48&lt;'VITA Index summary'!$O$22)),"CT detected", "CT not detected")</f>
        <v>CT not detected</v>
      </c>
      <c r="D51" s="58" t="str" cm="1">
        <f t="array" ref="D51">IFERROR(_xlfn.IFS(C51="CT not detected","N/A",'Cq and Delta Cq'!C48&gt;'VITA Index summary'!$T$16,"Indeterminate",'Cq and Delta Cq'!D48&gt;'VITA Index summary'!$T$22,"Indeterminate",'Cq and Delta Cq'!C48&lt;'VITA Index summary'!$T$16,2^('Cq and Delta Cq'!I48)/2,'Cq and Delta Cq'!D48&lt;'VITA Index summary'!$T$22,2^('Cq and Delta Cq'!I48)/2),"Indeterminate")</f>
        <v>N/A</v>
      </c>
      <c r="E51" s="58">
        <f t="shared" si="0"/>
        <v>1.57</v>
      </c>
      <c r="F51" s="6" t="str">
        <f>IF(OR(AND('Cq and Delta Cq'!F48&gt;'VITA Index summary'!$O$27,'Cq and Delta Cq'!F48&lt;'VITA Index summary'!$O$28),AND('Cq and Delta Cq'!G48&gt;'VITA Index summary'!$O$33,'Cq and Delta Cq'!G48&lt;'VITA Index summary'!$O$34)),"NG detected", "NG not detected")</f>
        <v>NG detected</v>
      </c>
      <c r="G51" s="58" t="str" cm="1">
        <f t="array" ref="G51">IFERROR(_xlfn.IFS(F51="NG not detected","N/A",'Cq and Delta Cq'!F48&gt;'VITA Index summary'!$T$28,"Indeterminate",'Cq and Delta Cq'!G48&gt;'VITA Index summary'!$T$34,"Indeterminate",'Cq and Delta Cq'!F48&lt;'VITA Index summary'!$T$28,2^('Cq and Delta Cq'!J48)/2,'Cq and Delta Cq'!G48&lt;'VITA Index summary'!$T$34,2^('Cq and Delta Cq'!J48)/2),"Indeterminate")</f>
        <v>Indeterminate</v>
      </c>
      <c r="H51" s="56">
        <f t="shared" si="1"/>
        <v>1.46</v>
      </c>
      <c r="I51" s="7" t="str">
        <f>IFERROR(IF(AND('VITA Index summary'!$O$39&lt;'Cq and Delta Cq'!E48,'Cq and Delta Cq'!E48&lt;'VITA Index summary'!$O$40),"EC VALID","EC INVALID"),"EC INVALID")</f>
        <v>EC VALID</v>
      </c>
    </row>
    <row r="52" spans="1:9" x14ac:dyDescent="0.25">
      <c r="A52" s="5" t="str">
        <f>'Cq and Delta Cq'!A49</f>
        <v>E5</v>
      </c>
      <c r="B52" s="5" t="str">
        <f>'Cq and Delta Cq'!B49</f>
        <v>OM3-005_120 min</v>
      </c>
      <c r="C52" s="6" t="str">
        <f>IF(OR(AND('Cq and Delta Cq'!C49&gt;'VITA Index summary'!$O$15,'Cq and Delta Cq'!C49&lt;'VITA Index summary'!$O$16),AND('Cq and Delta Cq'!D49&gt;'VITA Index summary'!$O$21,'Cq and Delta Cq'!D49&lt;'VITA Index summary'!$O$22)),"CT detected", "CT not detected")</f>
        <v>CT not detected</v>
      </c>
      <c r="D52" s="58" t="str" cm="1">
        <f t="array" ref="D52">IFERROR(_xlfn.IFS(C52="CT not detected","N/A",'Cq and Delta Cq'!C49&gt;'VITA Index summary'!$T$16,"Indeterminate",'Cq and Delta Cq'!D49&gt;'VITA Index summary'!$T$22,"Indeterminate",'Cq and Delta Cq'!C49&lt;'VITA Index summary'!$T$16,2^('Cq and Delta Cq'!I49)/2,'Cq and Delta Cq'!D49&lt;'VITA Index summary'!$T$22,2^('Cq and Delta Cq'!I49)/2),"Indeterminate")</f>
        <v>N/A</v>
      </c>
      <c r="E52" s="58">
        <f t="shared" si="0"/>
        <v>1.57</v>
      </c>
      <c r="F52" s="6" t="str">
        <f>IF(OR(AND('Cq and Delta Cq'!F49&gt;'VITA Index summary'!$O$27,'Cq and Delta Cq'!F49&lt;'VITA Index summary'!$O$28),AND('Cq and Delta Cq'!G49&gt;'VITA Index summary'!$O$33,'Cq and Delta Cq'!G49&lt;'VITA Index summary'!$O$34)),"NG detected", "NG not detected")</f>
        <v>NG detected</v>
      </c>
      <c r="G52" s="58" cm="1">
        <f t="array" ref="G52">IFERROR(_xlfn.IFS(F52="NG not detected","N/A",'Cq and Delta Cq'!F49&gt;'VITA Index summary'!$T$28,"Indeterminate",'Cq and Delta Cq'!G49&gt;'VITA Index summary'!$T$34,"Indeterminate",'Cq and Delta Cq'!F49&lt;'VITA Index summary'!$T$28,2^('Cq and Delta Cq'!J49)/2,'Cq and Delta Cq'!G49&lt;'VITA Index summary'!$T$34,2^('Cq and Delta Cq'!J49)/2),"Indeterminate")</f>
        <v>3.0247185590961214</v>
      </c>
      <c r="H52" s="56">
        <f t="shared" si="1"/>
        <v>1.46</v>
      </c>
      <c r="I52" s="7" t="str">
        <f>IFERROR(IF(AND('VITA Index summary'!$O$39&lt;'Cq and Delta Cq'!E49,'Cq and Delta Cq'!E49&lt;'VITA Index summary'!$O$40),"EC VALID","EC INVALID"),"EC INVALID")</f>
        <v>EC VALID</v>
      </c>
    </row>
    <row r="53" spans="1:9" x14ac:dyDescent="0.25">
      <c r="A53" s="5" t="str">
        <f>'Cq and Delta Cq'!A50</f>
        <v>E6</v>
      </c>
      <c r="B53" s="5" t="str">
        <f>'Cq and Delta Cq'!B50</f>
        <v>OM3-013_0 min</v>
      </c>
      <c r="C53" s="6" t="str">
        <f>IF(OR(AND('Cq and Delta Cq'!C50&gt;'VITA Index summary'!$O$15,'Cq and Delta Cq'!C50&lt;'VITA Index summary'!$O$16),AND('Cq and Delta Cq'!D50&gt;'VITA Index summary'!$O$21,'Cq and Delta Cq'!D50&lt;'VITA Index summary'!$O$22)),"CT detected", "CT not detected")</f>
        <v>CT not detected</v>
      </c>
      <c r="D53" s="58" t="str" cm="1">
        <f t="array" ref="D53">IFERROR(_xlfn.IFS(C53="CT not detected","N/A",'Cq and Delta Cq'!C50&gt;'VITA Index summary'!$T$16,"Indeterminate",'Cq and Delta Cq'!D50&gt;'VITA Index summary'!$T$22,"Indeterminate",'Cq and Delta Cq'!C50&lt;'VITA Index summary'!$T$16,2^('Cq and Delta Cq'!I50)/2,'Cq and Delta Cq'!D50&lt;'VITA Index summary'!$T$22,2^('Cq and Delta Cq'!I50)/2),"Indeterminate")</f>
        <v>N/A</v>
      </c>
      <c r="E53" s="58">
        <f t="shared" si="0"/>
        <v>1.57</v>
      </c>
      <c r="F53" s="6" t="str">
        <f>IF(OR(AND('Cq and Delta Cq'!F50&gt;'VITA Index summary'!$O$27,'Cq and Delta Cq'!F50&lt;'VITA Index summary'!$O$28),AND('Cq and Delta Cq'!G50&gt;'VITA Index summary'!$O$33,'Cq and Delta Cq'!G50&lt;'VITA Index summary'!$O$34)),"NG detected", "NG not detected")</f>
        <v>NG detected</v>
      </c>
      <c r="G53" s="58" cm="1">
        <f t="array" ref="G53">IFERROR(_xlfn.IFS(F53="NG not detected","N/A",'Cq and Delta Cq'!F50&gt;'VITA Index summary'!$T$28,"Indeterminate",'Cq and Delta Cq'!G50&gt;'VITA Index summary'!$T$34,"Indeterminate",'Cq and Delta Cq'!F50&lt;'VITA Index summary'!$T$28,2^('Cq and Delta Cq'!J50)/2,'Cq and Delta Cq'!G50&lt;'VITA Index summary'!$T$34,2^('Cq and Delta Cq'!J50)/2),"Indeterminate")</f>
        <v>11.815264980139315</v>
      </c>
      <c r="H53" s="56">
        <f t="shared" si="1"/>
        <v>1.46</v>
      </c>
      <c r="I53" s="7" t="str">
        <f>IFERROR(IF(AND('VITA Index summary'!$O$39&lt;'Cq and Delta Cq'!E50,'Cq and Delta Cq'!E50&lt;'VITA Index summary'!$O$40),"EC VALID","EC INVALID"),"EC INVALID")</f>
        <v>EC VALID</v>
      </c>
    </row>
    <row r="54" spans="1:9" x14ac:dyDescent="0.25">
      <c r="A54" s="5" t="str">
        <f>'Cq and Delta Cq'!A51</f>
        <v>E7</v>
      </c>
      <c r="B54" s="5" t="str">
        <f>'Cq and Delta Cq'!B51</f>
        <v>OM3-013_5 min</v>
      </c>
      <c r="C54" s="6" t="str">
        <f>IF(OR(AND('Cq and Delta Cq'!C51&gt;'VITA Index summary'!$O$15,'Cq and Delta Cq'!C51&lt;'VITA Index summary'!$O$16),AND('Cq and Delta Cq'!D51&gt;'VITA Index summary'!$O$21,'Cq and Delta Cq'!D51&lt;'VITA Index summary'!$O$22)),"CT detected", "CT not detected")</f>
        <v>CT not detected</v>
      </c>
      <c r="D54" s="58" t="str" cm="1">
        <f t="array" ref="D54">IFERROR(_xlfn.IFS(C54="CT not detected","N/A",'Cq and Delta Cq'!C51&gt;'VITA Index summary'!$T$16,"Indeterminate",'Cq and Delta Cq'!D51&gt;'VITA Index summary'!$T$22,"Indeterminate",'Cq and Delta Cq'!C51&lt;'VITA Index summary'!$T$16,2^('Cq and Delta Cq'!I51)/2,'Cq and Delta Cq'!D51&lt;'VITA Index summary'!$T$22,2^('Cq and Delta Cq'!I51)/2),"Indeterminate")</f>
        <v>N/A</v>
      </c>
      <c r="E54" s="58">
        <f t="shared" si="0"/>
        <v>1.57</v>
      </c>
      <c r="F54" s="6" t="str">
        <f>IF(OR(AND('Cq and Delta Cq'!F51&gt;'VITA Index summary'!$O$27,'Cq and Delta Cq'!F51&lt;'VITA Index summary'!$O$28),AND('Cq and Delta Cq'!G51&gt;'VITA Index summary'!$O$33,'Cq and Delta Cq'!G51&lt;'VITA Index summary'!$O$34)),"NG detected", "NG not detected")</f>
        <v>NG detected</v>
      </c>
      <c r="G54" s="58" cm="1">
        <f t="array" ref="G54">IFERROR(_xlfn.IFS(F54="NG not detected","N/A",'Cq and Delta Cq'!F51&gt;'VITA Index summary'!$T$28,"Indeterminate",'Cq and Delta Cq'!G51&gt;'VITA Index summary'!$T$34,"Indeterminate",'Cq and Delta Cq'!F51&lt;'VITA Index summary'!$T$28,2^('Cq and Delta Cq'!J51)/2,'Cq and Delta Cq'!G51&lt;'VITA Index summary'!$T$34,2^('Cq and Delta Cq'!J51)/2),"Indeterminate")</f>
        <v>10.387651073548639</v>
      </c>
      <c r="H54" s="56">
        <f t="shared" si="1"/>
        <v>1.46</v>
      </c>
      <c r="I54" s="7" t="str">
        <f>IFERROR(IF(AND('VITA Index summary'!$O$39&lt;'Cq and Delta Cq'!E51,'Cq and Delta Cq'!E51&lt;'VITA Index summary'!$O$40),"EC VALID","EC INVALID"),"EC INVALID")</f>
        <v>EC VALID</v>
      </c>
    </row>
    <row r="55" spans="1:9" x14ac:dyDescent="0.25">
      <c r="A55" s="5" t="str">
        <f>'Cq and Delta Cq'!A52</f>
        <v>E8</v>
      </c>
      <c r="B55" s="5" t="str">
        <f>'Cq and Delta Cq'!B52</f>
        <v>OM3-013_30 min</v>
      </c>
      <c r="C55" s="6" t="str">
        <f>IF(OR(AND('Cq and Delta Cq'!C52&gt;'VITA Index summary'!$O$15,'Cq and Delta Cq'!C52&lt;'VITA Index summary'!$O$16),AND('Cq and Delta Cq'!D52&gt;'VITA Index summary'!$O$21,'Cq and Delta Cq'!D52&lt;'VITA Index summary'!$O$22)),"CT detected", "CT not detected")</f>
        <v>CT not detected</v>
      </c>
      <c r="D55" s="58" t="str" cm="1">
        <f t="array" ref="D55">IFERROR(_xlfn.IFS(C55="CT not detected","N/A",'Cq and Delta Cq'!C52&gt;'VITA Index summary'!$T$16,"Indeterminate",'Cq and Delta Cq'!D52&gt;'VITA Index summary'!$T$22,"Indeterminate",'Cq and Delta Cq'!C52&lt;'VITA Index summary'!$T$16,2^('Cq and Delta Cq'!I52)/2,'Cq and Delta Cq'!D52&lt;'VITA Index summary'!$T$22,2^('Cq and Delta Cq'!I52)/2),"Indeterminate")</f>
        <v>N/A</v>
      </c>
      <c r="E55" s="58">
        <f t="shared" si="0"/>
        <v>1.57</v>
      </c>
      <c r="F55" s="6" t="str">
        <f>IF(OR(AND('Cq and Delta Cq'!F52&gt;'VITA Index summary'!$O$27,'Cq and Delta Cq'!F52&lt;'VITA Index summary'!$O$28),AND('Cq and Delta Cq'!G52&gt;'VITA Index summary'!$O$33,'Cq and Delta Cq'!G52&lt;'VITA Index summary'!$O$34)),"NG detected", "NG not detected")</f>
        <v>NG detected</v>
      </c>
      <c r="G55" s="58" cm="1">
        <f t="array" ref="G55">IFERROR(_xlfn.IFS(F55="NG not detected","N/A",'Cq and Delta Cq'!F52&gt;'VITA Index summary'!$T$28,"Indeterminate",'Cq and Delta Cq'!G52&gt;'VITA Index summary'!$T$34,"Indeterminate",'Cq and Delta Cq'!F52&lt;'VITA Index summary'!$T$28,2^('Cq and Delta Cq'!J52)/2,'Cq and Delta Cq'!G52&lt;'VITA Index summary'!$T$34,2^('Cq and Delta Cq'!J52)/2),"Indeterminate")</f>
        <v>11.573121933875592</v>
      </c>
      <c r="H55" s="56">
        <f t="shared" si="1"/>
        <v>1.46</v>
      </c>
      <c r="I55" s="7" t="str">
        <f>IFERROR(IF(AND('VITA Index summary'!$O$39&lt;'Cq and Delta Cq'!E52,'Cq and Delta Cq'!E52&lt;'VITA Index summary'!$O$40),"EC VALID","EC INVALID"),"EC INVALID")</f>
        <v>EC VALID</v>
      </c>
    </row>
    <row r="56" spans="1:9" x14ac:dyDescent="0.25">
      <c r="A56" s="5" t="str">
        <f>'Cq and Delta Cq'!A53</f>
        <v>E9</v>
      </c>
      <c r="B56" s="5" t="str">
        <f>'Cq and Delta Cq'!B53</f>
        <v>OM3-013_60 min</v>
      </c>
      <c r="C56" s="6" t="str">
        <f>IF(OR(AND('Cq and Delta Cq'!C53&gt;'VITA Index summary'!$O$15,'Cq and Delta Cq'!C53&lt;'VITA Index summary'!$O$16),AND('Cq and Delta Cq'!D53&gt;'VITA Index summary'!$O$21,'Cq and Delta Cq'!D53&lt;'VITA Index summary'!$O$22)),"CT detected", "CT not detected")</f>
        <v>CT not detected</v>
      </c>
      <c r="D56" s="58" t="str" cm="1">
        <f t="array" ref="D56">IFERROR(_xlfn.IFS(C56="CT not detected","N/A",'Cq and Delta Cq'!C53&gt;'VITA Index summary'!$T$16,"Indeterminate",'Cq and Delta Cq'!D53&gt;'VITA Index summary'!$T$22,"Indeterminate",'Cq and Delta Cq'!C53&lt;'VITA Index summary'!$T$16,2^('Cq and Delta Cq'!I53)/2,'Cq and Delta Cq'!D53&lt;'VITA Index summary'!$T$22,2^('Cq and Delta Cq'!I53)/2),"Indeterminate")</f>
        <v>N/A</v>
      </c>
      <c r="E56" s="58">
        <f t="shared" si="0"/>
        <v>1.57</v>
      </c>
      <c r="F56" s="6" t="str">
        <f>IF(OR(AND('Cq and Delta Cq'!F53&gt;'VITA Index summary'!$O$27,'Cq and Delta Cq'!F53&lt;'VITA Index summary'!$O$28),AND('Cq and Delta Cq'!G53&gt;'VITA Index summary'!$O$33,'Cq and Delta Cq'!G53&lt;'VITA Index summary'!$O$34)),"NG detected", "NG not detected")</f>
        <v>NG detected</v>
      </c>
      <c r="G56" s="58" cm="1">
        <f t="array" ref="G56">IFERROR(_xlfn.IFS(F56="NG not detected","N/A",'Cq and Delta Cq'!F53&gt;'VITA Index summary'!$T$28,"Indeterminate",'Cq and Delta Cq'!G53&gt;'VITA Index summary'!$T$34,"Indeterminate",'Cq and Delta Cq'!F53&lt;'VITA Index summary'!$T$28,2^('Cq and Delta Cq'!J53)/2,'Cq and Delta Cq'!G53&lt;'VITA Index summary'!$T$34,2^('Cq and Delta Cq'!J53)/2),"Indeterminate")</f>
        <v>7.654153295501235</v>
      </c>
      <c r="H56" s="56">
        <f t="shared" si="1"/>
        <v>1.46</v>
      </c>
      <c r="I56" s="7" t="str">
        <f>IFERROR(IF(AND('VITA Index summary'!$O$39&lt;'Cq and Delta Cq'!E53,'Cq and Delta Cq'!E53&lt;'VITA Index summary'!$O$40),"EC VALID","EC INVALID"),"EC INVALID")</f>
        <v>EC VALID</v>
      </c>
    </row>
    <row r="57" spans="1:9" x14ac:dyDescent="0.25">
      <c r="A57" s="5" t="str">
        <f>'Cq and Delta Cq'!A54</f>
        <v>E10</v>
      </c>
      <c r="B57" s="5" t="str">
        <f>'Cq and Delta Cq'!B54</f>
        <v>OM3-013_120 min</v>
      </c>
      <c r="C57" s="6" t="str">
        <f>IF(OR(AND('Cq and Delta Cq'!C54&gt;'VITA Index summary'!$O$15,'Cq and Delta Cq'!C54&lt;'VITA Index summary'!$O$16),AND('Cq and Delta Cq'!D54&gt;'VITA Index summary'!$O$21,'Cq and Delta Cq'!D54&lt;'VITA Index summary'!$O$22)),"CT detected", "CT not detected")</f>
        <v>CT not detected</v>
      </c>
      <c r="D57" s="58" t="str" cm="1">
        <f t="array" ref="D57">IFERROR(_xlfn.IFS(C57="CT not detected","N/A",'Cq and Delta Cq'!C54&gt;'VITA Index summary'!$T$16,"Indeterminate",'Cq and Delta Cq'!D54&gt;'VITA Index summary'!$T$22,"Indeterminate",'Cq and Delta Cq'!C54&lt;'VITA Index summary'!$T$16,2^('Cq and Delta Cq'!I54)/2,'Cq and Delta Cq'!D54&lt;'VITA Index summary'!$T$22,2^('Cq and Delta Cq'!I54)/2),"Indeterminate")</f>
        <v>N/A</v>
      </c>
      <c r="E57" s="58">
        <f t="shared" si="0"/>
        <v>1.57</v>
      </c>
      <c r="F57" s="6" t="str">
        <f>IF(OR(AND('Cq and Delta Cq'!F54&gt;'VITA Index summary'!$O$27,'Cq and Delta Cq'!F54&lt;'VITA Index summary'!$O$28),AND('Cq and Delta Cq'!G54&gt;'VITA Index summary'!$O$33,'Cq and Delta Cq'!G54&lt;'VITA Index summary'!$O$34)),"NG detected", "NG not detected")</f>
        <v>NG detected</v>
      </c>
      <c r="G57" s="58" cm="1">
        <f t="array" ref="G57">IFERROR(_xlfn.IFS(F57="NG not detected","N/A",'Cq and Delta Cq'!F54&gt;'VITA Index summary'!$T$28,"Indeterminate",'Cq and Delta Cq'!G54&gt;'VITA Index summary'!$T$34,"Indeterminate",'Cq and Delta Cq'!F54&lt;'VITA Index summary'!$T$28,2^('Cq and Delta Cq'!J54)/2,'Cq and Delta Cq'!G54&lt;'VITA Index summary'!$T$34,2^('Cq and Delta Cq'!J54)/2),"Indeterminate")</f>
        <v>12.816493875914198</v>
      </c>
      <c r="H57" s="56">
        <f t="shared" si="1"/>
        <v>1.46</v>
      </c>
      <c r="I57" s="7" t="str">
        <f>IFERROR(IF(AND('VITA Index summary'!$O$39&lt;'Cq and Delta Cq'!E54,'Cq and Delta Cq'!E54&lt;'VITA Index summary'!$O$40),"EC VALID","EC INVALID"),"EC INVALID")</f>
        <v>EC VALID</v>
      </c>
    </row>
    <row r="58" spans="1:9" x14ac:dyDescent="0.25">
      <c r="A58" s="5" t="str">
        <f>'Cq and Delta Cq'!A55</f>
        <v>F1</v>
      </c>
      <c r="B58" s="5" t="str">
        <f>'Cq and Delta Cq'!B55</f>
        <v>OM3-006_0 min</v>
      </c>
      <c r="C58" s="6" t="str">
        <f>IF(OR(AND('Cq and Delta Cq'!C55&gt;'VITA Index summary'!$O$15,'Cq and Delta Cq'!C55&lt;'VITA Index summary'!$O$16),AND('Cq and Delta Cq'!D55&gt;'VITA Index summary'!$O$21,'Cq and Delta Cq'!D55&lt;'VITA Index summary'!$O$22)),"CT detected", "CT not detected")</f>
        <v>CT not detected</v>
      </c>
      <c r="D58" s="58" t="str" cm="1">
        <f t="array" ref="D58">IFERROR(_xlfn.IFS(C58="CT not detected","N/A",'Cq and Delta Cq'!C55&gt;'VITA Index summary'!$T$16,"Indeterminate",'Cq and Delta Cq'!D55&gt;'VITA Index summary'!$T$22,"Indeterminate",'Cq and Delta Cq'!C55&lt;'VITA Index summary'!$T$16,2^('Cq and Delta Cq'!I55)/2,'Cq and Delta Cq'!D55&lt;'VITA Index summary'!$T$22,2^('Cq and Delta Cq'!I55)/2),"Indeterminate")</f>
        <v>N/A</v>
      </c>
      <c r="E58" s="58">
        <f t="shared" si="0"/>
        <v>1.57</v>
      </c>
      <c r="F58" s="6" t="str">
        <f>IF(OR(AND('Cq and Delta Cq'!F55&gt;'VITA Index summary'!$O$27,'Cq and Delta Cq'!F55&lt;'VITA Index summary'!$O$28),AND('Cq and Delta Cq'!G55&gt;'VITA Index summary'!$O$33,'Cq and Delta Cq'!G55&lt;'VITA Index summary'!$O$34)),"NG detected", "NG not detected")</f>
        <v>NG detected</v>
      </c>
      <c r="G58" s="58" cm="1">
        <f t="array" ref="G58">IFERROR(_xlfn.IFS(F58="NG not detected","N/A",'Cq and Delta Cq'!F55&gt;'VITA Index summary'!$T$28,"Indeterminate",'Cq and Delta Cq'!G55&gt;'VITA Index summary'!$T$34,"Indeterminate",'Cq and Delta Cq'!F55&lt;'VITA Index summary'!$T$28,2^('Cq and Delta Cq'!J55)/2,'Cq and Delta Cq'!G55&lt;'VITA Index summary'!$T$34,2^('Cq and Delta Cq'!J55)/2),"Indeterminate")</f>
        <v>2.9639488653076276</v>
      </c>
      <c r="H58" s="56">
        <f t="shared" si="1"/>
        <v>1.46</v>
      </c>
      <c r="I58" s="7" t="str">
        <f>IFERROR(IF(AND('VITA Index summary'!$O$39&lt;'Cq and Delta Cq'!E55,'Cq and Delta Cq'!E55&lt;'VITA Index summary'!$O$40),"EC VALID","EC INVALID"),"EC INVALID")</f>
        <v>EC VALID</v>
      </c>
    </row>
    <row r="59" spans="1:9" x14ac:dyDescent="0.25">
      <c r="A59" s="5" t="str">
        <f>'Cq and Delta Cq'!A56</f>
        <v>F2</v>
      </c>
      <c r="B59" s="5" t="str">
        <f>'Cq and Delta Cq'!B56</f>
        <v>OM3-006_5 min</v>
      </c>
      <c r="C59" s="6" t="str">
        <f>IF(OR(AND('Cq and Delta Cq'!C56&gt;'VITA Index summary'!$O$15,'Cq and Delta Cq'!C56&lt;'VITA Index summary'!$O$16),AND('Cq and Delta Cq'!D56&gt;'VITA Index summary'!$O$21,'Cq and Delta Cq'!D56&lt;'VITA Index summary'!$O$22)),"CT detected", "CT not detected")</f>
        <v>CT not detected</v>
      </c>
      <c r="D59" s="58" t="str" cm="1">
        <f t="array" ref="D59">IFERROR(_xlfn.IFS(C59="CT not detected","N/A",'Cq and Delta Cq'!C56&gt;'VITA Index summary'!$T$16,"Indeterminate",'Cq and Delta Cq'!D56&gt;'VITA Index summary'!$T$22,"Indeterminate",'Cq and Delta Cq'!C56&lt;'VITA Index summary'!$T$16,2^('Cq and Delta Cq'!I56)/2,'Cq and Delta Cq'!D56&lt;'VITA Index summary'!$T$22,2^('Cq and Delta Cq'!I56)/2),"Indeterminate")</f>
        <v>N/A</v>
      </c>
      <c r="E59" s="58">
        <f t="shared" si="0"/>
        <v>1.57</v>
      </c>
      <c r="F59" s="6" t="str">
        <f>IF(OR(AND('Cq and Delta Cq'!F56&gt;'VITA Index summary'!$O$27,'Cq and Delta Cq'!F56&lt;'VITA Index summary'!$O$28),AND('Cq and Delta Cq'!G56&gt;'VITA Index summary'!$O$33,'Cq and Delta Cq'!G56&lt;'VITA Index summary'!$O$34)),"NG detected", "NG not detected")</f>
        <v>NG detected</v>
      </c>
      <c r="G59" s="58" cm="1">
        <f t="array" ref="G59">IFERROR(_xlfn.IFS(F59="NG not detected","N/A",'Cq and Delta Cq'!F56&gt;'VITA Index summary'!$T$28,"Indeterminate",'Cq and Delta Cq'!G56&gt;'VITA Index summary'!$T$34,"Indeterminate",'Cq and Delta Cq'!F56&lt;'VITA Index summary'!$T$28,2^('Cq and Delta Cq'!J56)/2,'Cq and Delta Cq'!G56&lt;'VITA Index summary'!$T$34,2^('Cq and Delta Cq'!J56)/2),"Indeterminate")</f>
        <v>2.2412473270077551</v>
      </c>
      <c r="H59" s="56">
        <f t="shared" si="1"/>
        <v>1.46</v>
      </c>
      <c r="I59" s="7" t="str">
        <f>IFERROR(IF(AND('VITA Index summary'!$O$39&lt;'Cq and Delta Cq'!E56,'Cq and Delta Cq'!E56&lt;'VITA Index summary'!$O$40),"EC VALID","EC INVALID"),"EC INVALID")</f>
        <v>EC VALID</v>
      </c>
    </row>
    <row r="60" spans="1:9" x14ac:dyDescent="0.25">
      <c r="A60" s="5" t="str">
        <f>'Cq and Delta Cq'!A57</f>
        <v>F3</v>
      </c>
      <c r="B60" s="5" t="str">
        <f>'Cq and Delta Cq'!B57</f>
        <v>OM3-006_30 min</v>
      </c>
      <c r="C60" s="6" t="str">
        <f>IF(OR(AND('Cq and Delta Cq'!C57&gt;'VITA Index summary'!$O$15,'Cq and Delta Cq'!C57&lt;'VITA Index summary'!$O$16),AND('Cq and Delta Cq'!D57&gt;'VITA Index summary'!$O$21,'Cq and Delta Cq'!D57&lt;'VITA Index summary'!$O$22)),"CT detected", "CT not detected")</f>
        <v>CT not detected</v>
      </c>
      <c r="D60" s="58" t="str" cm="1">
        <f t="array" ref="D60">IFERROR(_xlfn.IFS(C60="CT not detected","N/A",'Cq and Delta Cq'!C57&gt;'VITA Index summary'!$T$16,"Indeterminate",'Cq and Delta Cq'!D57&gt;'VITA Index summary'!$T$22,"Indeterminate",'Cq and Delta Cq'!C57&lt;'VITA Index summary'!$T$16,2^('Cq and Delta Cq'!I57)/2,'Cq and Delta Cq'!D57&lt;'VITA Index summary'!$T$22,2^('Cq and Delta Cq'!I57)/2),"Indeterminate")</f>
        <v>N/A</v>
      </c>
      <c r="E60" s="58">
        <f t="shared" si="0"/>
        <v>1.57</v>
      </c>
      <c r="F60" s="6" t="str">
        <f>IF(OR(AND('Cq and Delta Cq'!F57&gt;'VITA Index summary'!$O$27,'Cq and Delta Cq'!F57&lt;'VITA Index summary'!$O$28),AND('Cq and Delta Cq'!G57&gt;'VITA Index summary'!$O$33,'Cq and Delta Cq'!G57&lt;'VITA Index summary'!$O$34)),"NG detected", "NG not detected")</f>
        <v>NG detected</v>
      </c>
      <c r="G60" s="58" cm="1">
        <f t="array" ref="G60">IFERROR(_xlfn.IFS(F60="NG not detected","N/A",'Cq and Delta Cq'!F57&gt;'VITA Index summary'!$T$28,"Indeterminate",'Cq and Delta Cq'!G57&gt;'VITA Index summary'!$T$34,"Indeterminate",'Cq and Delta Cq'!F57&lt;'VITA Index summary'!$T$28,2^('Cq and Delta Cq'!J57)/2,'Cq and Delta Cq'!G57&lt;'VITA Index summary'!$T$34,2^('Cq and Delta Cq'!J57)/2),"Indeterminate")</f>
        <v>2.407061890526788</v>
      </c>
      <c r="H60" s="56">
        <f t="shared" si="1"/>
        <v>1.46</v>
      </c>
      <c r="I60" s="7" t="str">
        <f>IFERROR(IF(AND('VITA Index summary'!$O$39&lt;'Cq and Delta Cq'!E57,'Cq and Delta Cq'!E57&lt;'VITA Index summary'!$O$40),"EC VALID","EC INVALID"),"EC INVALID")</f>
        <v>EC VALID</v>
      </c>
    </row>
    <row r="61" spans="1:9" x14ac:dyDescent="0.25">
      <c r="A61" s="5" t="str">
        <f>'Cq and Delta Cq'!A58</f>
        <v>F4</v>
      </c>
      <c r="B61" s="5" t="str">
        <f>'Cq and Delta Cq'!B58</f>
        <v>OM3-006_60 min</v>
      </c>
      <c r="C61" s="6" t="str">
        <f>IF(OR(AND('Cq and Delta Cq'!C58&gt;'VITA Index summary'!$O$15,'Cq and Delta Cq'!C58&lt;'VITA Index summary'!$O$16),AND('Cq and Delta Cq'!D58&gt;'VITA Index summary'!$O$21,'Cq and Delta Cq'!D58&lt;'VITA Index summary'!$O$22)),"CT detected", "CT not detected")</f>
        <v>CT not detected</v>
      </c>
      <c r="D61" s="58" t="str" cm="1">
        <f t="array" ref="D61">IFERROR(_xlfn.IFS(C61="CT not detected","N/A",'Cq and Delta Cq'!C58&gt;'VITA Index summary'!$T$16,"Indeterminate",'Cq and Delta Cq'!D58&gt;'VITA Index summary'!$T$22,"Indeterminate",'Cq and Delta Cq'!C58&lt;'VITA Index summary'!$T$16,2^('Cq and Delta Cq'!I58)/2,'Cq and Delta Cq'!D58&lt;'VITA Index summary'!$T$22,2^('Cq and Delta Cq'!I58)/2),"Indeterminate")</f>
        <v>N/A</v>
      </c>
      <c r="E61" s="58">
        <f t="shared" si="0"/>
        <v>1.57</v>
      </c>
      <c r="F61" s="6" t="str">
        <f>IF(OR(AND('Cq and Delta Cq'!F58&gt;'VITA Index summary'!$O$27,'Cq and Delta Cq'!F58&lt;'VITA Index summary'!$O$28),AND('Cq and Delta Cq'!G58&gt;'VITA Index summary'!$O$33,'Cq and Delta Cq'!G58&lt;'VITA Index summary'!$O$34)),"NG detected", "NG not detected")</f>
        <v>NG detected</v>
      </c>
      <c r="G61" s="58" cm="1">
        <f t="array" ref="G61">IFERROR(_xlfn.IFS(F61="NG not detected","N/A",'Cq and Delta Cq'!F58&gt;'VITA Index summary'!$T$28,"Indeterminate",'Cq and Delta Cq'!G58&gt;'VITA Index summary'!$T$34,"Indeterminate",'Cq and Delta Cq'!F58&lt;'VITA Index summary'!$T$28,2^('Cq and Delta Cq'!J58)/2,'Cq and Delta Cq'!G58&lt;'VITA Index summary'!$T$34,2^('Cq and Delta Cq'!J58)/2),"Indeterminate")</f>
        <v>3.6609440975064946</v>
      </c>
      <c r="H61" s="56">
        <f t="shared" si="1"/>
        <v>1.46</v>
      </c>
      <c r="I61" s="7" t="str">
        <f>IFERROR(IF(AND('VITA Index summary'!$O$39&lt;'Cq and Delta Cq'!E58,'Cq and Delta Cq'!E58&lt;'VITA Index summary'!$O$40),"EC VALID","EC INVALID"),"EC INVALID")</f>
        <v>EC VALID</v>
      </c>
    </row>
    <row r="62" spans="1:9" x14ac:dyDescent="0.25">
      <c r="A62" s="5" t="str">
        <f>'Cq and Delta Cq'!A59</f>
        <v>F5</v>
      </c>
      <c r="B62" s="5" t="str">
        <f>'Cq and Delta Cq'!B59</f>
        <v>OM3-006_120 min</v>
      </c>
      <c r="C62" s="6" t="str">
        <f>IF(OR(AND('Cq and Delta Cq'!C59&gt;'VITA Index summary'!$O$15,'Cq and Delta Cq'!C59&lt;'VITA Index summary'!$O$16),AND('Cq and Delta Cq'!D59&gt;'VITA Index summary'!$O$21,'Cq and Delta Cq'!D59&lt;'VITA Index summary'!$O$22)),"CT detected", "CT not detected")</f>
        <v>CT not detected</v>
      </c>
      <c r="D62" s="58" t="str" cm="1">
        <f t="array" ref="D62">IFERROR(_xlfn.IFS(C62="CT not detected","N/A",'Cq and Delta Cq'!C59&gt;'VITA Index summary'!$T$16,"Indeterminate",'Cq and Delta Cq'!D59&gt;'VITA Index summary'!$T$22,"Indeterminate",'Cq and Delta Cq'!C59&lt;'VITA Index summary'!$T$16,2^('Cq and Delta Cq'!I59)/2,'Cq and Delta Cq'!D59&lt;'VITA Index summary'!$T$22,2^('Cq and Delta Cq'!I59)/2),"Indeterminate")</f>
        <v>N/A</v>
      </c>
      <c r="E62" s="58">
        <f t="shared" si="0"/>
        <v>1.57</v>
      </c>
      <c r="F62" s="6" t="str">
        <f>IF(OR(AND('Cq and Delta Cq'!F59&gt;'VITA Index summary'!$O$27,'Cq and Delta Cq'!F59&lt;'VITA Index summary'!$O$28),AND('Cq and Delta Cq'!G59&gt;'VITA Index summary'!$O$33,'Cq and Delta Cq'!G59&lt;'VITA Index summary'!$O$34)),"NG detected", "NG not detected")</f>
        <v>NG detected</v>
      </c>
      <c r="G62" s="58" cm="1">
        <f t="array" ref="G62">IFERROR(_xlfn.IFS(F62="NG not detected","N/A",'Cq and Delta Cq'!F59&gt;'VITA Index summary'!$T$28,"Indeterminate",'Cq and Delta Cq'!G59&gt;'VITA Index summary'!$T$34,"Indeterminate",'Cq and Delta Cq'!F59&lt;'VITA Index summary'!$T$28,2^('Cq and Delta Cq'!J59)/2,'Cq and Delta Cq'!G59&lt;'VITA Index summary'!$T$34,2^('Cq and Delta Cq'!J59)/2),"Indeterminate")</f>
        <v>3.6063694950638268</v>
      </c>
      <c r="H62" s="56">
        <f t="shared" si="1"/>
        <v>1.46</v>
      </c>
      <c r="I62" s="7" t="str">
        <f>IFERROR(IF(AND('VITA Index summary'!$O$39&lt;'Cq and Delta Cq'!E59,'Cq and Delta Cq'!E59&lt;'VITA Index summary'!$O$40),"EC VALID","EC INVALID"),"EC INVALID")</f>
        <v>EC VALID</v>
      </c>
    </row>
    <row r="63" spans="1:9" x14ac:dyDescent="0.25">
      <c r="A63" s="5" t="str">
        <f>'Cq and Delta Cq'!A60</f>
        <v>F6</v>
      </c>
      <c r="B63" s="5" t="str">
        <f>'Cq and Delta Cq'!B60</f>
        <v>OM3-014_0 min</v>
      </c>
      <c r="C63" s="6" t="str">
        <f>IF(OR(AND('Cq and Delta Cq'!C60&gt;'VITA Index summary'!$O$15,'Cq and Delta Cq'!C60&lt;'VITA Index summary'!$O$16),AND('Cq and Delta Cq'!D60&gt;'VITA Index summary'!$O$21,'Cq and Delta Cq'!D60&lt;'VITA Index summary'!$O$22)),"CT detected", "CT not detected")</f>
        <v>CT not detected</v>
      </c>
      <c r="D63" s="58" t="str" cm="1">
        <f t="array" ref="D63">IFERROR(_xlfn.IFS(C63="CT not detected","N/A",'Cq and Delta Cq'!C60&gt;'VITA Index summary'!$T$16,"Indeterminate",'Cq and Delta Cq'!D60&gt;'VITA Index summary'!$T$22,"Indeterminate",'Cq and Delta Cq'!C60&lt;'VITA Index summary'!$T$16,2^('Cq and Delta Cq'!I60)/2,'Cq and Delta Cq'!D60&lt;'VITA Index summary'!$T$22,2^('Cq and Delta Cq'!I60)/2),"Indeterminate")</f>
        <v>N/A</v>
      </c>
      <c r="E63" s="58">
        <f t="shared" si="0"/>
        <v>1.57</v>
      </c>
      <c r="F63" s="6" t="str">
        <f>IF(OR(AND('Cq and Delta Cq'!F60&gt;'VITA Index summary'!$O$27,'Cq and Delta Cq'!F60&lt;'VITA Index summary'!$O$28),AND('Cq and Delta Cq'!G60&gt;'VITA Index summary'!$O$33,'Cq and Delta Cq'!G60&lt;'VITA Index summary'!$O$34)),"NG detected", "NG not detected")</f>
        <v>NG not detected</v>
      </c>
      <c r="G63" s="58" t="str" cm="1">
        <f t="array" ref="G63">IFERROR(_xlfn.IFS(F63="NG not detected","N/A",'Cq and Delta Cq'!F60&gt;'VITA Index summary'!$T$28,"Indeterminate",'Cq and Delta Cq'!G60&gt;'VITA Index summary'!$T$34,"Indeterminate",'Cq and Delta Cq'!F60&lt;'VITA Index summary'!$T$28,2^('Cq and Delta Cq'!J60)/2,'Cq and Delta Cq'!G60&lt;'VITA Index summary'!$T$34,2^('Cq and Delta Cq'!J60)/2),"Indeterminate")</f>
        <v>N/A</v>
      </c>
      <c r="H63" s="56">
        <f t="shared" si="1"/>
        <v>1.46</v>
      </c>
      <c r="I63" s="7" t="str">
        <f>IFERROR(IF(AND('VITA Index summary'!$O$39&lt;'Cq and Delta Cq'!E60,'Cq and Delta Cq'!E60&lt;'VITA Index summary'!$O$40),"EC VALID","EC INVALID"),"EC INVALID")</f>
        <v>EC VALID</v>
      </c>
    </row>
    <row r="64" spans="1:9" x14ac:dyDescent="0.25">
      <c r="A64" s="5" t="str">
        <f>'Cq and Delta Cq'!A61</f>
        <v>F7</v>
      </c>
      <c r="B64" s="5" t="str">
        <f>'Cq and Delta Cq'!B61</f>
        <v>OM3-014_5 min</v>
      </c>
      <c r="C64" s="6" t="str">
        <f>IF(OR(AND('Cq and Delta Cq'!C61&gt;'VITA Index summary'!$O$15,'Cq and Delta Cq'!C61&lt;'VITA Index summary'!$O$16),AND('Cq and Delta Cq'!D61&gt;'VITA Index summary'!$O$21,'Cq and Delta Cq'!D61&lt;'VITA Index summary'!$O$22)),"CT detected", "CT not detected")</f>
        <v>CT not detected</v>
      </c>
      <c r="D64" s="58" t="str" cm="1">
        <f t="array" ref="D64">IFERROR(_xlfn.IFS(C64="CT not detected","N/A",'Cq and Delta Cq'!C61&gt;'VITA Index summary'!$T$16,"Indeterminate",'Cq and Delta Cq'!D61&gt;'VITA Index summary'!$T$22,"Indeterminate",'Cq and Delta Cq'!C61&lt;'VITA Index summary'!$T$16,2^('Cq and Delta Cq'!I61)/2,'Cq and Delta Cq'!D61&lt;'VITA Index summary'!$T$22,2^('Cq and Delta Cq'!I61)/2),"Indeterminate")</f>
        <v>N/A</v>
      </c>
      <c r="E64" s="58">
        <f t="shared" si="0"/>
        <v>1.57</v>
      </c>
      <c r="F64" s="6" t="str">
        <f>IF(OR(AND('Cq and Delta Cq'!F61&gt;'VITA Index summary'!$O$27,'Cq and Delta Cq'!F61&lt;'VITA Index summary'!$O$28),AND('Cq and Delta Cq'!G61&gt;'VITA Index summary'!$O$33,'Cq and Delta Cq'!G61&lt;'VITA Index summary'!$O$34)),"NG detected", "NG not detected")</f>
        <v>NG not detected</v>
      </c>
      <c r="G64" s="58" t="str" cm="1">
        <f t="array" ref="G64">IFERROR(_xlfn.IFS(F64="NG not detected","N/A",'Cq and Delta Cq'!F61&gt;'VITA Index summary'!$T$28,"Indeterminate",'Cq and Delta Cq'!G61&gt;'VITA Index summary'!$T$34,"Indeterminate",'Cq and Delta Cq'!F61&lt;'VITA Index summary'!$T$28,2^('Cq and Delta Cq'!J61)/2,'Cq and Delta Cq'!G61&lt;'VITA Index summary'!$T$34,2^('Cq and Delta Cq'!J61)/2),"Indeterminate")</f>
        <v>N/A</v>
      </c>
      <c r="H64" s="56">
        <f t="shared" si="1"/>
        <v>1.46</v>
      </c>
      <c r="I64" s="7" t="str">
        <f>IFERROR(IF(AND('VITA Index summary'!$O$39&lt;'Cq and Delta Cq'!E61,'Cq and Delta Cq'!E61&lt;'VITA Index summary'!$O$40),"EC VALID","EC INVALID"),"EC INVALID")</f>
        <v>EC VALID</v>
      </c>
    </row>
    <row r="65" spans="1:9" x14ac:dyDescent="0.25">
      <c r="A65" s="5" t="str">
        <f>'Cq and Delta Cq'!A62</f>
        <v>F8</v>
      </c>
      <c r="B65" s="5" t="str">
        <f>'Cq and Delta Cq'!B62</f>
        <v>OM3-014_30 min</v>
      </c>
      <c r="C65" s="6" t="str">
        <f>IF(OR(AND('Cq and Delta Cq'!C62&gt;'VITA Index summary'!$O$15,'Cq and Delta Cq'!C62&lt;'VITA Index summary'!$O$16),AND('Cq and Delta Cq'!D62&gt;'VITA Index summary'!$O$21,'Cq and Delta Cq'!D62&lt;'VITA Index summary'!$O$22)),"CT detected", "CT not detected")</f>
        <v>CT not detected</v>
      </c>
      <c r="D65" s="58" t="str" cm="1">
        <f t="array" ref="D65">IFERROR(_xlfn.IFS(C65="CT not detected","N/A",'Cq and Delta Cq'!C62&gt;'VITA Index summary'!$T$16,"Indeterminate",'Cq and Delta Cq'!D62&gt;'VITA Index summary'!$T$22,"Indeterminate",'Cq and Delta Cq'!C62&lt;'VITA Index summary'!$T$16,2^('Cq and Delta Cq'!I62)/2,'Cq and Delta Cq'!D62&lt;'VITA Index summary'!$T$22,2^('Cq and Delta Cq'!I62)/2),"Indeterminate")</f>
        <v>N/A</v>
      </c>
      <c r="E65" s="58">
        <f t="shared" si="0"/>
        <v>1.57</v>
      </c>
      <c r="F65" s="6" t="str">
        <f>IF(OR(AND('Cq and Delta Cq'!F62&gt;'VITA Index summary'!$O$27,'Cq and Delta Cq'!F62&lt;'VITA Index summary'!$O$28),AND('Cq and Delta Cq'!G62&gt;'VITA Index summary'!$O$33,'Cq and Delta Cq'!G62&lt;'VITA Index summary'!$O$34)),"NG detected", "NG not detected")</f>
        <v>NG not detected</v>
      </c>
      <c r="G65" s="58" t="str" cm="1">
        <f t="array" ref="G65">IFERROR(_xlfn.IFS(F65="NG not detected","N/A",'Cq and Delta Cq'!F62&gt;'VITA Index summary'!$T$28,"Indeterminate",'Cq and Delta Cq'!G62&gt;'VITA Index summary'!$T$34,"Indeterminate",'Cq and Delta Cq'!F62&lt;'VITA Index summary'!$T$28,2^('Cq and Delta Cq'!J62)/2,'Cq and Delta Cq'!G62&lt;'VITA Index summary'!$T$34,2^('Cq and Delta Cq'!J62)/2),"Indeterminate")</f>
        <v>N/A</v>
      </c>
      <c r="H65" s="56">
        <f t="shared" si="1"/>
        <v>1.46</v>
      </c>
      <c r="I65" s="7" t="str">
        <f>IFERROR(IF(AND('VITA Index summary'!$O$39&lt;'Cq and Delta Cq'!E62,'Cq and Delta Cq'!E62&lt;'VITA Index summary'!$O$40),"EC VALID","EC INVALID"),"EC INVALID")</f>
        <v>EC VALID</v>
      </c>
    </row>
    <row r="66" spans="1:9" x14ac:dyDescent="0.25">
      <c r="A66" s="5" t="str">
        <f>'Cq and Delta Cq'!A63</f>
        <v>F9</v>
      </c>
      <c r="B66" s="5" t="str">
        <f>'Cq and Delta Cq'!B63</f>
        <v>OM3-014_60 min</v>
      </c>
      <c r="C66" s="6" t="str">
        <f>IF(OR(AND('Cq and Delta Cq'!C63&gt;'VITA Index summary'!$O$15,'Cq and Delta Cq'!C63&lt;'VITA Index summary'!$O$16),AND('Cq and Delta Cq'!D63&gt;'VITA Index summary'!$O$21,'Cq and Delta Cq'!D63&lt;'VITA Index summary'!$O$22)),"CT detected", "CT not detected")</f>
        <v>CT not detected</v>
      </c>
      <c r="D66" s="58" t="str" cm="1">
        <f t="array" ref="D66">IFERROR(_xlfn.IFS(C66="CT not detected","N/A",'Cq and Delta Cq'!C63&gt;'VITA Index summary'!$T$16,"Indeterminate",'Cq and Delta Cq'!D63&gt;'VITA Index summary'!$T$22,"Indeterminate",'Cq and Delta Cq'!C63&lt;'VITA Index summary'!$T$16,2^('Cq and Delta Cq'!I63)/2,'Cq and Delta Cq'!D63&lt;'VITA Index summary'!$T$22,2^('Cq and Delta Cq'!I63)/2),"Indeterminate")</f>
        <v>N/A</v>
      </c>
      <c r="E66" s="58">
        <f t="shared" si="0"/>
        <v>1.57</v>
      </c>
      <c r="F66" s="6" t="str">
        <f>IF(OR(AND('Cq and Delta Cq'!F63&gt;'VITA Index summary'!$O$27,'Cq and Delta Cq'!F63&lt;'VITA Index summary'!$O$28),AND('Cq and Delta Cq'!G63&gt;'VITA Index summary'!$O$33,'Cq and Delta Cq'!G63&lt;'VITA Index summary'!$O$34)),"NG detected", "NG not detected")</f>
        <v>NG not detected</v>
      </c>
      <c r="G66" s="58" t="str" cm="1">
        <f t="array" ref="G66">IFERROR(_xlfn.IFS(F66="NG not detected","N/A",'Cq and Delta Cq'!F63&gt;'VITA Index summary'!$T$28,"Indeterminate",'Cq and Delta Cq'!G63&gt;'VITA Index summary'!$T$34,"Indeterminate",'Cq and Delta Cq'!F63&lt;'VITA Index summary'!$T$28,2^('Cq and Delta Cq'!J63)/2,'Cq and Delta Cq'!G63&lt;'VITA Index summary'!$T$34,2^('Cq and Delta Cq'!J63)/2),"Indeterminate")</f>
        <v>N/A</v>
      </c>
      <c r="H66" s="56">
        <f t="shared" si="1"/>
        <v>1.46</v>
      </c>
      <c r="I66" s="7" t="str">
        <f>IFERROR(IF(AND('VITA Index summary'!$O$39&lt;'Cq and Delta Cq'!E63,'Cq and Delta Cq'!E63&lt;'VITA Index summary'!$O$40),"EC VALID","EC INVALID"),"EC INVALID")</f>
        <v>EC VALID</v>
      </c>
    </row>
    <row r="67" spans="1:9" x14ac:dyDescent="0.25">
      <c r="A67" s="5" t="str">
        <f>'Cq and Delta Cq'!A64</f>
        <v>F10</v>
      </c>
      <c r="B67" s="5" t="str">
        <f>'Cq and Delta Cq'!B64</f>
        <v>OM3-014_120 min</v>
      </c>
      <c r="C67" s="6" t="str">
        <f>IF(OR(AND('Cq and Delta Cq'!C64&gt;'VITA Index summary'!$O$15,'Cq and Delta Cq'!C64&lt;'VITA Index summary'!$O$16),AND('Cq and Delta Cq'!D64&gt;'VITA Index summary'!$O$21,'Cq and Delta Cq'!D64&lt;'VITA Index summary'!$O$22)),"CT detected", "CT not detected")</f>
        <v>CT not detected</v>
      </c>
      <c r="D67" s="58" t="str" cm="1">
        <f t="array" ref="D67">IFERROR(_xlfn.IFS(C67="CT not detected","N/A",'Cq and Delta Cq'!C64&gt;'VITA Index summary'!$T$16,"Indeterminate",'Cq and Delta Cq'!D64&gt;'VITA Index summary'!$T$22,"Indeterminate",'Cq and Delta Cq'!C64&lt;'VITA Index summary'!$T$16,2^('Cq and Delta Cq'!I64)/2,'Cq and Delta Cq'!D64&lt;'VITA Index summary'!$T$22,2^('Cq and Delta Cq'!I64)/2),"Indeterminate")</f>
        <v>N/A</v>
      </c>
      <c r="E67" s="58">
        <f t="shared" si="0"/>
        <v>1.57</v>
      </c>
      <c r="F67" s="6" t="str">
        <f>IF(OR(AND('Cq and Delta Cq'!F64&gt;'VITA Index summary'!$O$27,'Cq and Delta Cq'!F64&lt;'VITA Index summary'!$O$28),AND('Cq and Delta Cq'!G64&gt;'VITA Index summary'!$O$33,'Cq and Delta Cq'!G64&lt;'VITA Index summary'!$O$34)),"NG detected", "NG not detected")</f>
        <v>NG not detected</v>
      </c>
      <c r="G67" s="58" t="str" cm="1">
        <f t="array" ref="G67">IFERROR(_xlfn.IFS(F67="NG not detected","N/A",'Cq and Delta Cq'!F64&gt;'VITA Index summary'!$T$28,"Indeterminate",'Cq and Delta Cq'!G64&gt;'VITA Index summary'!$T$34,"Indeterminate",'Cq and Delta Cq'!F64&lt;'VITA Index summary'!$T$28,2^('Cq and Delta Cq'!J64)/2,'Cq and Delta Cq'!G64&lt;'VITA Index summary'!$T$34,2^('Cq and Delta Cq'!J64)/2),"Indeterminate")</f>
        <v>N/A</v>
      </c>
      <c r="H67" s="56">
        <f t="shared" si="1"/>
        <v>1.46</v>
      </c>
      <c r="I67" s="7" t="str">
        <f>IFERROR(IF(AND('VITA Index summary'!$O$39&lt;'Cq and Delta Cq'!E64,'Cq and Delta Cq'!E64&lt;'VITA Index summary'!$O$40),"EC VALID","EC INVALID"),"EC INVALID")</f>
        <v>EC VALID</v>
      </c>
    </row>
    <row r="68" spans="1:9" x14ac:dyDescent="0.25">
      <c r="A68" s="5" t="str">
        <f>'Cq and Delta Cq'!A65</f>
        <v>G1</v>
      </c>
      <c r="B68" s="5" t="str">
        <f>'Cq and Delta Cq'!B65</f>
        <v>OM3-007_0 min</v>
      </c>
      <c r="C68" s="6" t="str">
        <f>IF(OR(AND('Cq and Delta Cq'!C65&gt;'VITA Index summary'!$O$15,'Cq and Delta Cq'!C65&lt;'VITA Index summary'!$O$16),AND('Cq and Delta Cq'!D65&gt;'VITA Index summary'!$O$21,'Cq and Delta Cq'!D65&lt;'VITA Index summary'!$O$22)),"CT detected", "CT not detected")</f>
        <v>CT not detected</v>
      </c>
      <c r="D68" s="58" t="str" cm="1">
        <f t="array" ref="D68">IFERROR(_xlfn.IFS(C68="CT not detected","N/A",'Cq and Delta Cq'!C65&gt;'VITA Index summary'!$T$16,"Indeterminate",'Cq and Delta Cq'!D65&gt;'VITA Index summary'!$T$22,"Indeterminate",'Cq and Delta Cq'!C65&lt;'VITA Index summary'!$T$16,2^('Cq and Delta Cq'!I65)/2,'Cq and Delta Cq'!D65&lt;'VITA Index summary'!$T$22,2^('Cq and Delta Cq'!I65)/2),"Indeterminate")</f>
        <v>N/A</v>
      </c>
      <c r="E68" s="58">
        <f t="shared" si="0"/>
        <v>1.57</v>
      </c>
      <c r="F68" s="6" t="str">
        <f>IF(OR(AND('Cq and Delta Cq'!F65&gt;'VITA Index summary'!$O$27,'Cq and Delta Cq'!F65&lt;'VITA Index summary'!$O$28),AND('Cq and Delta Cq'!G65&gt;'VITA Index summary'!$O$33,'Cq and Delta Cq'!G65&lt;'VITA Index summary'!$O$34)),"NG detected", "NG not detected")</f>
        <v>NG detected</v>
      </c>
      <c r="G68" s="58" cm="1">
        <f t="array" ref="G68">IFERROR(_xlfn.IFS(F68="NG not detected","N/A",'Cq and Delta Cq'!F65&gt;'VITA Index summary'!$T$28,"Indeterminate",'Cq and Delta Cq'!G65&gt;'VITA Index summary'!$T$34,"Indeterminate",'Cq and Delta Cq'!F65&lt;'VITA Index summary'!$T$28,2^('Cq and Delta Cq'!J65)/2,'Cq and Delta Cq'!G65&lt;'VITA Index summary'!$T$34,2^('Cq and Delta Cq'!J65)/2),"Indeterminate")</f>
        <v>1.8280491982003337</v>
      </c>
      <c r="H68" s="56">
        <f t="shared" si="1"/>
        <v>1.46</v>
      </c>
      <c r="I68" s="7" t="str">
        <f>IFERROR(IF(AND('VITA Index summary'!$O$39&lt;'Cq and Delta Cq'!E65,'Cq and Delta Cq'!E65&lt;'VITA Index summary'!$O$40),"EC VALID","EC INVALID"),"EC INVALID")</f>
        <v>EC VALID</v>
      </c>
    </row>
    <row r="69" spans="1:9" x14ac:dyDescent="0.25">
      <c r="A69" s="5" t="str">
        <f>'Cq and Delta Cq'!A66</f>
        <v>G2</v>
      </c>
      <c r="B69" s="5" t="str">
        <f>'Cq and Delta Cq'!B66</f>
        <v>OM3-007_5 min</v>
      </c>
      <c r="C69" s="6" t="str">
        <f>IF(OR(AND('Cq and Delta Cq'!C66&gt;'VITA Index summary'!$O$15,'Cq and Delta Cq'!C66&lt;'VITA Index summary'!$O$16),AND('Cq and Delta Cq'!D66&gt;'VITA Index summary'!$O$21,'Cq and Delta Cq'!D66&lt;'VITA Index summary'!$O$22)),"CT detected", "CT not detected")</f>
        <v>CT not detected</v>
      </c>
      <c r="D69" s="58" t="str" cm="1">
        <f t="array" ref="D69">IFERROR(_xlfn.IFS(C69="CT not detected","N/A",'Cq and Delta Cq'!C66&gt;'VITA Index summary'!$T$16,"Indeterminate",'Cq and Delta Cq'!D66&gt;'VITA Index summary'!$T$22,"Indeterminate",'Cq and Delta Cq'!C66&lt;'VITA Index summary'!$T$16,2^('Cq and Delta Cq'!I66)/2,'Cq and Delta Cq'!D66&lt;'VITA Index summary'!$T$22,2^('Cq and Delta Cq'!I66)/2),"Indeterminate")</f>
        <v>N/A</v>
      </c>
      <c r="E69" s="58">
        <f t="shared" si="0"/>
        <v>1.57</v>
      </c>
      <c r="F69" s="6" t="str">
        <f>IF(OR(AND('Cq and Delta Cq'!F66&gt;'VITA Index summary'!$O$27,'Cq and Delta Cq'!F66&lt;'VITA Index summary'!$O$28),AND('Cq and Delta Cq'!G66&gt;'VITA Index summary'!$O$33,'Cq and Delta Cq'!G66&lt;'VITA Index summary'!$O$34)),"NG detected", "NG not detected")</f>
        <v>NG detected</v>
      </c>
      <c r="G69" s="58" t="str" cm="1">
        <f t="array" ref="G69">IFERROR(_xlfn.IFS(F69="NG not detected","N/A",'Cq and Delta Cq'!F66&gt;'VITA Index summary'!$T$28,"Indeterminate",'Cq and Delta Cq'!G66&gt;'VITA Index summary'!$T$34,"Indeterminate",'Cq and Delta Cq'!F66&lt;'VITA Index summary'!$T$28,2^('Cq and Delta Cq'!J66)/2,'Cq and Delta Cq'!G66&lt;'VITA Index summary'!$T$34,2^('Cq and Delta Cq'!J66)/2),"Indeterminate")</f>
        <v>Indeterminate</v>
      </c>
      <c r="H69" s="56">
        <f t="shared" si="1"/>
        <v>1.46</v>
      </c>
      <c r="I69" s="7" t="str">
        <f>IFERROR(IF(AND('VITA Index summary'!$O$39&lt;'Cq and Delta Cq'!E66,'Cq and Delta Cq'!E66&lt;'VITA Index summary'!$O$40),"EC VALID","EC INVALID"),"EC INVALID")</f>
        <v>EC VALID</v>
      </c>
    </row>
    <row r="70" spans="1:9" x14ac:dyDescent="0.25">
      <c r="A70" s="5" t="str">
        <f>'Cq and Delta Cq'!A67</f>
        <v>G3</v>
      </c>
      <c r="B70" s="5" t="str">
        <f>'Cq and Delta Cq'!B67</f>
        <v>OM3-007_30 min</v>
      </c>
      <c r="C70" s="6" t="str">
        <f>IF(OR(AND('Cq and Delta Cq'!C67&gt;'VITA Index summary'!$O$15,'Cq and Delta Cq'!C67&lt;'VITA Index summary'!$O$16),AND('Cq and Delta Cq'!D67&gt;'VITA Index summary'!$O$21,'Cq and Delta Cq'!D67&lt;'VITA Index summary'!$O$22)),"CT detected", "CT not detected")</f>
        <v>CT not detected</v>
      </c>
      <c r="D70" s="58" t="str" cm="1">
        <f t="array" ref="D70">IFERROR(_xlfn.IFS(C70="CT not detected","N/A",'Cq and Delta Cq'!C67&gt;'VITA Index summary'!$T$16,"Indeterminate",'Cq and Delta Cq'!D67&gt;'VITA Index summary'!$T$22,"Indeterminate",'Cq and Delta Cq'!C67&lt;'VITA Index summary'!$T$16,2^('Cq and Delta Cq'!I67)/2,'Cq and Delta Cq'!D67&lt;'VITA Index summary'!$T$22,2^('Cq and Delta Cq'!I67)/2),"Indeterminate")</f>
        <v>N/A</v>
      </c>
      <c r="E70" s="58">
        <f t="shared" ref="E70:E100" si="2">$O$8</f>
        <v>1.57</v>
      </c>
      <c r="F70" s="6" t="str">
        <f>IF(OR(AND('Cq and Delta Cq'!F67&gt;'VITA Index summary'!$O$27,'Cq and Delta Cq'!F67&lt;'VITA Index summary'!$O$28),AND('Cq and Delta Cq'!G67&gt;'VITA Index summary'!$O$33,'Cq and Delta Cq'!G67&lt;'VITA Index summary'!$O$34)),"NG detected", "NG not detected")</f>
        <v>NG detected</v>
      </c>
      <c r="G70" s="58" t="str" cm="1">
        <f t="array" ref="G70">IFERROR(_xlfn.IFS(F70="NG not detected","N/A",'Cq and Delta Cq'!F67&gt;'VITA Index summary'!$T$28,"Indeterminate",'Cq and Delta Cq'!G67&gt;'VITA Index summary'!$T$34,"Indeterminate",'Cq and Delta Cq'!F67&lt;'VITA Index summary'!$T$28,2^('Cq and Delta Cq'!J67)/2,'Cq and Delta Cq'!G67&lt;'VITA Index summary'!$T$34,2^('Cq and Delta Cq'!J67)/2),"Indeterminate")</f>
        <v>Indeterminate</v>
      </c>
      <c r="H70" s="56">
        <f t="shared" ref="H70:H100" si="3">$O$7</f>
        <v>1.46</v>
      </c>
      <c r="I70" s="7" t="str">
        <f>IFERROR(IF(AND('VITA Index summary'!$O$39&lt;'Cq and Delta Cq'!E67,'Cq and Delta Cq'!E67&lt;'VITA Index summary'!$O$40),"EC VALID","EC INVALID"),"EC INVALID")</f>
        <v>EC VALID</v>
      </c>
    </row>
    <row r="71" spans="1:9" x14ac:dyDescent="0.25">
      <c r="A71" s="5" t="str">
        <f>'Cq and Delta Cq'!A68</f>
        <v>G4</v>
      </c>
      <c r="B71" s="5" t="str">
        <f>'Cq and Delta Cq'!B68</f>
        <v>OM3-007_60 min</v>
      </c>
      <c r="C71" s="6" t="str">
        <f>IF(OR(AND('Cq and Delta Cq'!C68&gt;'VITA Index summary'!$O$15,'Cq and Delta Cq'!C68&lt;'VITA Index summary'!$O$16),AND('Cq and Delta Cq'!D68&gt;'VITA Index summary'!$O$21,'Cq and Delta Cq'!D68&lt;'VITA Index summary'!$O$22)),"CT detected", "CT not detected")</f>
        <v>CT not detected</v>
      </c>
      <c r="D71" s="58" t="str" cm="1">
        <f t="array" ref="D71">IFERROR(_xlfn.IFS(C71="CT not detected","N/A",'Cq and Delta Cq'!C68&gt;'VITA Index summary'!$T$16,"Indeterminate",'Cq and Delta Cq'!D68&gt;'VITA Index summary'!$T$22,"Indeterminate",'Cq and Delta Cq'!C68&lt;'VITA Index summary'!$T$16,2^('Cq and Delta Cq'!I68)/2,'Cq and Delta Cq'!D68&lt;'VITA Index summary'!$T$22,2^('Cq and Delta Cq'!I68)/2),"Indeterminate")</f>
        <v>N/A</v>
      </c>
      <c r="E71" s="58">
        <f t="shared" si="2"/>
        <v>1.57</v>
      </c>
      <c r="F71" s="6" t="str">
        <f>IF(OR(AND('Cq and Delta Cq'!F68&gt;'VITA Index summary'!$O$27,'Cq and Delta Cq'!F68&lt;'VITA Index summary'!$O$28),AND('Cq and Delta Cq'!G68&gt;'VITA Index summary'!$O$33,'Cq and Delta Cq'!G68&lt;'VITA Index summary'!$O$34)),"NG detected", "NG not detected")</f>
        <v>NG detected</v>
      </c>
      <c r="G71" s="58" cm="1">
        <f t="array" ref="G71">IFERROR(_xlfn.IFS(F71="NG not detected","N/A",'Cq and Delta Cq'!F68&gt;'VITA Index summary'!$T$28,"Indeterminate",'Cq and Delta Cq'!G68&gt;'VITA Index summary'!$T$34,"Indeterminate",'Cq and Delta Cq'!F68&lt;'VITA Index summary'!$T$28,2^('Cq and Delta Cq'!J68)/2,'Cq and Delta Cq'!G68&lt;'VITA Index summary'!$T$34,2^('Cq and Delta Cq'!J68)/2),"Indeterminate")</f>
        <v>2.0282955856097673</v>
      </c>
      <c r="H71" s="56">
        <f t="shared" si="3"/>
        <v>1.46</v>
      </c>
      <c r="I71" s="7" t="str">
        <f>IFERROR(IF(AND('VITA Index summary'!$O$39&lt;'Cq and Delta Cq'!E68,'Cq and Delta Cq'!E68&lt;'VITA Index summary'!$O$40),"EC VALID","EC INVALID"),"EC INVALID")</f>
        <v>EC VALID</v>
      </c>
    </row>
    <row r="72" spans="1:9" x14ac:dyDescent="0.25">
      <c r="A72" s="5" t="str">
        <f>'Cq and Delta Cq'!A69</f>
        <v>G5</v>
      </c>
      <c r="B72" s="5" t="str">
        <f>'Cq and Delta Cq'!B69</f>
        <v>OM3-007_120 min</v>
      </c>
      <c r="C72" s="6" t="str">
        <f>IF(OR(AND('Cq and Delta Cq'!C69&gt;'VITA Index summary'!$O$15,'Cq and Delta Cq'!C69&lt;'VITA Index summary'!$O$16),AND('Cq and Delta Cq'!D69&gt;'VITA Index summary'!$O$21,'Cq and Delta Cq'!D69&lt;'VITA Index summary'!$O$22)),"CT detected", "CT not detected")</f>
        <v>CT not detected</v>
      </c>
      <c r="D72" s="58" t="str" cm="1">
        <f t="array" ref="D72">IFERROR(_xlfn.IFS(C72="CT not detected","N/A",'Cq and Delta Cq'!C69&gt;'VITA Index summary'!$T$16,"Indeterminate",'Cq and Delta Cq'!D69&gt;'VITA Index summary'!$T$22,"Indeterminate",'Cq and Delta Cq'!C69&lt;'VITA Index summary'!$T$16,2^('Cq and Delta Cq'!I69)/2,'Cq and Delta Cq'!D69&lt;'VITA Index summary'!$T$22,2^('Cq and Delta Cq'!I69)/2),"Indeterminate")</f>
        <v>N/A</v>
      </c>
      <c r="E72" s="58">
        <f t="shared" si="2"/>
        <v>1.57</v>
      </c>
      <c r="F72" s="6" t="str">
        <f>IF(OR(AND('Cq and Delta Cq'!F69&gt;'VITA Index summary'!$O$27,'Cq and Delta Cq'!F69&lt;'VITA Index summary'!$O$28),AND('Cq and Delta Cq'!G69&gt;'VITA Index summary'!$O$33,'Cq and Delta Cq'!G69&lt;'VITA Index summary'!$O$34)),"NG detected", "NG not detected")</f>
        <v>NG detected</v>
      </c>
      <c r="G72" s="58" cm="1">
        <f t="array" ref="G72">IFERROR(_xlfn.IFS(F72="NG not detected","N/A",'Cq and Delta Cq'!F69&gt;'VITA Index summary'!$T$28,"Indeterminate",'Cq and Delta Cq'!G69&gt;'VITA Index summary'!$T$34,"Indeterminate",'Cq and Delta Cq'!F69&lt;'VITA Index summary'!$T$28,2^('Cq and Delta Cq'!J69)/2,'Cq and Delta Cq'!G69&lt;'VITA Index summary'!$T$34,2^('Cq and Delta Cq'!J69)/2),"Indeterminate")</f>
        <v>1.6064027319515684</v>
      </c>
      <c r="H72" s="56">
        <f t="shared" si="3"/>
        <v>1.46</v>
      </c>
      <c r="I72" s="7" t="str">
        <f>IFERROR(IF(AND('VITA Index summary'!$O$39&lt;'Cq and Delta Cq'!E69,'Cq and Delta Cq'!E69&lt;'VITA Index summary'!$O$40),"EC VALID","EC INVALID"),"EC INVALID")</f>
        <v>EC VALID</v>
      </c>
    </row>
    <row r="73" spans="1:9" x14ac:dyDescent="0.25">
      <c r="A73" s="5" t="str">
        <f>'Cq and Delta Cq'!A70</f>
        <v>G6</v>
      </c>
      <c r="B73" s="5" t="str">
        <f>'Cq and Delta Cq'!B70</f>
        <v>OM3-015_0 min</v>
      </c>
      <c r="C73" s="6" t="str">
        <f>IF(OR(AND('Cq and Delta Cq'!C70&gt;'VITA Index summary'!$O$15,'Cq and Delta Cq'!C70&lt;'VITA Index summary'!$O$16),AND('Cq and Delta Cq'!D70&gt;'VITA Index summary'!$O$21,'Cq and Delta Cq'!D70&lt;'VITA Index summary'!$O$22)),"CT detected", "CT not detected")</f>
        <v>CT not detected</v>
      </c>
      <c r="D73" s="58" t="str" cm="1">
        <f t="array" ref="D73">IFERROR(_xlfn.IFS(C73="CT not detected","N/A",'Cq and Delta Cq'!C70&gt;'VITA Index summary'!$T$16,"Indeterminate",'Cq and Delta Cq'!D70&gt;'VITA Index summary'!$T$22,"Indeterminate",'Cq and Delta Cq'!C70&lt;'VITA Index summary'!$T$16,2^('Cq and Delta Cq'!I70)/2,'Cq and Delta Cq'!D70&lt;'VITA Index summary'!$T$22,2^('Cq and Delta Cq'!I70)/2),"Indeterminate")</f>
        <v>N/A</v>
      </c>
      <c r="E73" s="58">
        <f t="shared" si="2"/>
        <v>1.57</v>
      </c>
      <c r="F73" s="6" t="str">
        <f>IF(OR(AND('Cq and Delta Cq'!F70&gt;'VITA Index summary'!$O$27,'Cq and Delta Cq'!F70&lt;'VITA Index summary'!$O$28),AND('Cq and Delta Cq'!G70&gt;'VITA Index summary'!$O$33,'Cq and Delta Cq'!G70&lt;'VITA Index summary'!$O$34)),"NG detected", "NG not detected")</f>
        <v>NG detected</v>
      </c>
      <c r="G73" s="58" cm="1">
        <f t="array" ref="G73">IFERROR(_xlfn.IFS(F73="NG not detected","N/A",'Cq and Delta Cq'!F70&gt;'VITA Index summary'!$T$28,"Indeterminate",'Cq and Delta Cq'!G70&gt;'VITA Index summary'!$T$34,"Indeterminate",'Cq and Delta Cq'!F70&lt;'VITA Index summary'!$T$28,2^('Cq and Delta Cq'!J70)/2,'Cq and Delta Cq'!G70&lt;'VITA Index summary'!$T$34,2^('Cq and Delta Cq'!J70)/2),"Indeterminate")</f>
        <v>1.3730859028481082</v>
      </c>
      <c r="H73" s="56">
        <f t="shared" si="3"/>
        <v>1.46</v>
      </c>
      <c r="I73" s="7" t="str">
        <f>IFERROR(IF(AND('VITA Index summary'!$O$39&lt;'Cq and Delta Cq'!E70,'Cq and Delta Cq'!E70&lt;'VITA Index summary'!$O$40),"EC VALID","EC INVALID"),"EC INVALID")</f>
        <v>EC VALID</v>
      </c>
    </row>
    <row r="74" spans="1:9" x14ac:dyDescent="0.25">
      <c r="A74" s="5" t="str">
        <f>'Cq and Delta Cq'!A71</f>
        <v>G7</v>
      </c>
      <c r="B74" s="5" t="str">
        <f>'Cq and Delta Cq'!B71</f>
        <v>OM3-015_5 min</v>
      </c>
      <c r="C74" s="6" t="str">
        <f>IF(OR(AND('Cq and Delta Cq'!C71&gt;'VITA Index summary'!$O$15,'Cq and Delta Cq'!C71&lt;'VITA Index summary'!$O$16),AND('Cq and Delta Cq'!D71&gt;'VITA Index summary'!$O$21,'Cq and Delta Cq'!D71&lt;'VITA Index summary'!$O$22)),"CT detected", "CT not detected")</f>
        <v>CT not detected</v>
      </c>
      <c r="D74" s="58" t="str" cm="1">
        <f t="array" ref="D74">IFERROR(_xlfn.IFS(C74="CT not detected","N/A",'Cq and Delta Cq'!C71&gt;'VITA Index summary'!$T$16,"Indeterminate",'Cq and Delta Cq'!D71&gt;'VITA Index summary'!$T$22,"Indeterminate",'Cq and Delta Cq'!C71&lt;'VITA Index summary'!$T$16,2^('Cq and Delta Cq'!I71)/2,'Cq and Delta Cq'!D71&lt;'VITA Index summary'!$T$22,2^('Cq and Delta Cq'!I71)/2),"Indeterminate")</f>
        <v>N/A</v>
      </c>
      <c r="E74" s="58">
        <f t="shared" si="2"/>
        <v>1.57</v>
      </c>
      <c r="F74" s="6" t="str">
        <f>IF(OR(AND('Cq and Delta Cq'!F71&gt;'VITA Index summary'!$O$27,'Cq and Delta Cq'!F71&lt;'VITA Index summary'!$O$28),AND('Cq and Delta Cq'!G71&gt;'VITA Index summary'!$O$33,'Cq and Delta Cq'!G71&lt;'VITA Index summary'!$O$34)),"NG detected", "NG not detected")</f>
        <v>NG detected</v>
      </c>
      <c r="G74" s="58" cm="1">
        <f t="array" ref="G74">IFERROR(_xlfn.IFS(F74="NG not detected","N/A",'Cq and Delta Cq'!F71&gt;'VITA Index summary'!$T$28,"Indeterminate",'Cq and Delta Cq'!G71&gt;'VITA Index summary'!$T$34,"Indeterminate",'Cq and Delta Cq'!F71&lt;'VITA Index summary'!$T$28,2^('Cq and Delta Cq'!J71)/2,'Cq and Delta Cq'!G71&lt;'VITA Index summary'!$T$34,2^('Cq and Delta Cq'!J71)/2),"Indeterminate")</f>
        <v>0.88784021425998294</v>
      </c>
      <c r="H74" s="56">
        <f t="shared" si="3"/>
        <v>1.46</v>
      </c>
      <c r="I74" s="7" t="str">
        <f>IFERROR(IF(AND('VITA Index summary'!$O$39&lt;'Cq and Delta Cq'!E71,'Cq and Delta Cq'!E71&lt;'VITA Index summary'!$O$40),"EC VALID","EC INVALID"),"EC INVALID")</f>
        <v>EC VALID</v>
      </c>
    </row>
    <row r="75" spans="1:9" x14ac:dyDescent="0.25">
      <c r="A75" s="5" t="str">
        <f>'Cq and Delta Cq'!A72</f>
        <v>G8</v>
      </c>
      <c r="B75" s="5" t="str">
        <f>'Cq and Delta Cq'!B72</f>
        <v>OM3-015_30 min</v>
      </c>
      <c r="C75" s="6" t="str">
        <f>IF(OR(AND('Cq and Delta Cq'!C72&gt;'VITA Index summary'!$O$15,'Cq and Delta Cq'!C72&lt;'VITA Index summary'!$O$16),AND('Cq and Delta Cq'!D72&gt;'VITA Index summary'!$O$21,'Cq and Delta Cq'!D72&lt;'VITA Index summary'!$O$22)),"CT detected", "CT not detected")</f>
        <v>CT not detected</v>
      </c>
      <c r="D75" s="58" t="str" cm="1">
        <f t="array" ref="D75">IFERROR(_xlfn.IFS(C75="CT not detected","N/A",'Cq and Delta Cq'!C72&gt;'VITA Index summary'!$T$16,"Indeterminate",'Cq and Delta Cq'!D72&gt;'VITA Index summary'!$T$22,"Indeterminate",'Cq and Delta Cq'!C72&lt;'VITA Index summary'!$T$16,2^('Cq and Delta Cq'!I72)/2,'Cq and Delta Cq'!D72&lt;'VITA Index summary'!$T$22,2^('Cq and Delta Cq'!I72)/2),"Indeterminate")</f>
        <v>N/A</v>
      </c>
      <c r="E75" s="58">
        <f t="shared" si="2"/>
        <v>1.57</v>
      </c>
      <c r="F75" s="6" t="str">
        <f>IF(OR(AND('Cq and Delta Cq'!F72&gt;'VITA Index summary'!$O$27,'Cq and Delta Cq'!F72&lt;'VITA Index summary'!$O$28),AND('Cq and Delta Cq'!G72&gt;'VITA Index summary'!$O$33,'Cq and Delta Cq'!G72&lt;'VITA Index summary'!$O$34)),"NG detected", "NG not detected")</f>
        <v>NG detected</v>
      </c>
      <c r="G75" s="58" cm="1">
        <f t="array" ref="G75">IFERROR(_xlfn.IFS(F75="NG not detected","N/A",'Cq and Delta Cq'!F72&gt;'VITA Index summary'!$T$28,"Indeterminate",'Cq and Delta Cq'!G72&gt;'VITA Index summary'!$T$34,"Indeterminate",'Cq and Delta Cq'!F72&lt;'VITA Index summary'!$T$28,2^('Cq and Delta Cq'!J72)/2,'Cq and Delta Cq'!G72&lt;'VITA Index summary'!$T$34,2^('Cq and Delta Cq'!J72)/2),"Indeterminate")</f>
        <v>2.7350661204668176</v>
      </c>
      <c r="H75" s="56">
        <f t="shared" si="3"/>
        <v>1.46</v>
      </c>
      <c r="I75" s="7" t="str">
        <f>IFERROR(IF(AND('VITA Index summary'!$O$39&lt;'Cq and Delta Cq'!E72,'Cq and Delta Cq'!E72&lt;'VITA Index summary'!$O$40),"EC VALID","EC INVALID"),"EC INVALID")</f>
        <v>EC VALID</v>
      </c>
    </row>
    <row r="76" spans="1:9" x14ac:dyDescent="0.25">
      <c r="A76" s="5" t="str">
        <f>'Cq and Delta Cq'!A73</f>
        <v>G9</v>
      </c>
      <c r="B76" s="5" t="str">
        <f>'Cq and Delta Cq'!B73</f>
        <v>OM3-015_60 min</v>
      </c>
      <c r="C76" s="6" t="str">
        <f>IF(OR(AND('Cq and Delta Cq'!C73&gt;'VITA Index summary'!$O$15,'Cq and Delta Cq'!C73&lt;'VITA Index summary'!$O$16),AND('Cq and Delta Cq'!D73&gt;'VITA Index summary'!$O$21,'Cq and Delta Cq'!D73&lt;'VITA Index summary'!$O$22)),"CT detected", "CT not detected")</f>
        <v>CT not detected</v>
      </c>
      <c r="D76" s="58" t="str" cm="1">
        <f t="array" ref="D76">IFERROR(_xlfn.IFS(C76="CT not detected","N/A",'Cq and Delta Cq'!C73&gt;'VITA Index summary'!$T$16,"Indeterminate",'Cq and Delta Cq'!D73&gt;'VITA Index summary'!$T$22,"Indeterminate",'Cq and Delta Cq'!C73&lt;'VITA Index summary'!$T$16,2^('Cq and Delta Cq'!I73)/2,'Cq and Delta Cq'!D73&lt;'VITA Index summary'!$T$22,2^('Cq and Delta Cq'!I73)/2),"Indeterminate")</f>
        <v>N/A</v>
      </c>
      <c r="E76" s="58">
        <f t="shared" si="2"/>
        <v>1.57</v>
      </c>
      <c r="F76" s="6" t="str">
        <f>IF(OR(AND('Cq and Delta Cq'!F73&gt;'VITA Index summary'!$O$27,'Cq and Delta Cq'!F73&lt;'VITA Index summary'!$O$28),AND('Cq and Delta Cq'!G73&gt;'VITA Index summary'!$O$33,'Cq and Delta Cq'!G73&lt;'VITA Index summary'!$O$34)),"NG detected", "NG not detected")</f>
        <v>NG detected</v>
      </c>
      <c r="G76" s="58" cm="1">
        <f t="array" ref="G76">IFERROR(_xlfn.IFS(F76="NG not detected","N/A",'Cq and Delta Cq'!F73&gt;'VITA Index summary'!$T$28,"Indeterminate",'Cq and Delta Cq'!G73&gt;'VITA Index summary'!$T$34,"Indeterminate",'Cq and Delta Cq'!F73&lt;'VITA Index summary'!$T$28,2^('Cq and Delta Cq'!J73)/2,'Cq and Delta Cq'!G73&lt;'VITA Index summary'!$T$34,2^('Cq and Delta Cq'!J73)/2),"Indeterminate")</f>
        <v>1.5935955970410864</v>
      </c>
      <c r="H76" s="56">
        <f t="shared" si="3"/>
        <v>1.46</v>
      </c>
      <c r="I76" s="7" t="str">
        <f>IFERROR(IF(AND('VITA Index summary'!$O$39&lt;'Cq and Delta Cq'!E73,'Cq and Delta Cq'!E73&lt;'VITA Index summary'!$O$40),"EC VALID","EC INVALID"),"EC INVALID")</f>
        <v>EC VALID</v>
      </c>
    </row>
    <row r="77" spans="1:9" x14ac:dyDescent="0.25">
      <c r="A77" s="5" t="str">
        <f>'Cq and Delta Cq'!A74</f>
        <v>G10</v>
      </c>
      <c r="B77" s="5" t="str">
        <f>'Cq and Delta Cq'!B74</f>
        <v>OM3-015_120 min</v>
      </c>
      <c r="C77" s="6" t="str">
        <f>IF(OR(AND('Cq and Delta Cq'!C74&gt;'VITA Index summary'!$O$15,'Cq and Delta Cq'!C74&lt;'VITA Index summary'!$O$16),AND('Cq and Delta Cq'!D74&gt;'VITA Index summary'!$O$21,'Cq and Delta Cq'!D74&lt;'VITA Index summary'!$O$22)),"CT detected", "CT not detected")</f>
        <v>CT not detected</v>
      </c>
      <c r="D77" s="58" t="str" cm="1">
        <f t="array" ref="D77">IFERROR(_xlfn.IFS(C77="CT not detected","N/A",'Cq and Delta Cq'!C74&gt;'VITA Index summary'!$T$16,"Indeterminate",'Cq and Delta Cq'!D74&gt;'VITA Index summary'!$T$22,"Indeterminate",'Cq and Delta Cq'!C74&lt;'VITA Index summary'!$T$16,2^('Cq and Delta Cq'!I74)/2,'Cq and Delta Cq'!D74&lt;'VITA Index summary'!$T$22,2^('Cq and Delta Cq'!I74)/2),"Indeterminate")</f>
        <v>N/A</v>
      </c>
      <c r="E77" s="58">
        <f t="shared" si="2"/>
        <v>1.57</v>
      </c>
      <c r="F77" s="6" t="str">
        <f>IF(OR(AND('Cq and Delta Cq'!F74&gt;'VITA Index summary'!$O$27,'Cq and Delta Cq'!F74&lt;'VITA Index summary'!$O$28),AND('Cq and Delta Cq'!G74&gt;'VITA Index summary'!$O$33,'Cq and Delta Cq'!G74&lt;'VITA Index summary'!$O$34)),"NG detected", "NG not detected")</f>
        <v>NG detected</v>
      </c>
      <c r="G77" s="58" cm="1">
        <f t="array" ref="G77">IFERROR(_xlfn.IFS(F77="NG not detected","N/A",'Cq and Delta Cq'!F74&gt;'VITA Index summary'!$T$28,"Indeterminate",'Cq and Delta Cq'!G74&gt;'VITA Index summary'!$T$34,"Indeterminate",'Cq and Delta Cq'!F74&lt;'VITA Index summary'!$T$28,2^('Cq and Delta Cq'!J74)/2,'Cq and Delta Cq'!G74&lt;'VITA Index summary'!$T$34,2^('Cq and Delta Cq'!J74)/2),"Indeterminate")</f>
        <v>1.5880137737659779</v>
      </c>
      <c r="H77" s="56">
        <f t="shared" si="3"/>
        <v>1.46</v>
      </c>
      <c r="I77" s="7" t="str">
        <f>IFERROR(IF(AND('VITA Index summary'!$O$39&lt;'Cq and Delta Cq'!E74,'Cq and Delta Cq'!E74&lt;'VITA Index summary'!$O$40),"EC VALID","EC INVALID"),"EC INVALID")</f>
        <v>EC VALID</v>
      </c>
    </row>
    <row r="78" spans="1:9" x14ac:dyDescent="0.25">
      <c r="A78" s="5" t="str">
        <f>'Cq and Delta Cq'!A75</f>
        <v>H1</v>
      </c>
      <c r="B78" s="5" t="str">
        <f>'Cq and Delta Cq'!B75</f>
        <v>OM3-008_0 min</v>
      </c>
      <c r="C78" s="6" t="str">
        <f>IF(OR(AND('Cq and Delta Cq'!C75&gt;'VITA Index summary'!$O$15,'Cq and Delta Cq'!C75&lt;'VITA Index summary'!$O$16),AND('Cq and Delta Cq'!D75&gt;'VITA Index summary'!$O$21,'Cq and Delta Cq'!D75&lt;'VITA Index summary'!$O$22)),"CT detected", "CT not detected")</f>
        <v>CT not detected</v>
      </c>
      <c r="D78" s="58" t="str" cm="1">
        <f t="array" ref="D78">IFERROR(_xlfn.IFS(C78="CT not detected","N/A",'Cq and Delta Cq'!C75&gt;'VITA Index summary'!$T$16,"Indeterminate",'Cq and Delta Cq'!D75&gt;'VITA Index summary'!$T$22,"Indeterminate",'Cq and Delta Cq'!C75&lt;'VITA Index summary'!$T$16,2^('Cq and Delta Cq'!I75)/2,'Cq and Delta Cq'!D75&lt;'VITA Index summary'!$T$22,2^('Cq and Delta Cq'!I75)/2),"Indeterminate")</f>
        <v>N/A</v>
      </c>
      <c r="E78" s="58">
        <f t="shared" si="2"/>
        <v>1.57</v>
      </c>
      <c r="F78" s="6" t="str">
        <f>IF(OR(AND('Cq and Delta Cq'!F75&gt;'VITA Index summary'!$O$27,'Cq and Delta Cq'!F75&lt;'VITA Index summary'!$O$28),AND('Cq and Delta Cq'!G75&gt;'VITA Index summary'!$O$33,'Cq and Delta Cq'!G75&lt;'VITA Index summary'!$O$34)),"NG detected", "NG not detected")</f>
        <v>NG detected</v>
      </c>
      <c r="G78" s="58" t="str" cm="1">
        <f t="array" ref="G78">IFERROR(_xlfn.IFS(F78="NG not detected","N/A",'Cq and Delta Cq'!F75&gt;'VITA Index summary'!$T$28,"Indeterminate",'Cq and Delta Cq'!G75&gt;'VITA Index summary'!$T$34,"Indeterminate",'Cq and Delta Cq'!F75&lt;'VITA Index summary'!$T$28,2^('Cq and Delta Cq'!J75)/2,'Cq and Delta Cq'!G75&lt;'VITA Index summary'!$T$34,2^('Cq and Delta Cq'!J75)/2),"Indeterminate")</f>
        <v>Indeterminate</v>
      </c>
      <c r="H78" s="56">
        <f t="shared" si="3"/>
        <v>1.46</v>
      </c>
      <c r="I78" s="7" t="str">
        <f>IFERROR(IF(AND('VITA Index summary'!$O$39&lt;'Cq and Delta Cq'!E75,'Cq and Delta Cq'!E75&lt;'VITA Index summary'!$O$40),"EC VALID","EC INVALID"),"EC INVALID")</f>
        <v>EC VALID</v>
      </c>
    </row>
    <row r="79" spans="1:9" x14ac:dyDescent="0.25">
      <c r="A79" s="5" t="str">
        <f>'Cq and Delta Cq'!A76</f>
        <v>H2</v>
      </c>
      <c r="B79" s="5" t="str">
        <f>'Cq and Delta Cq'!B76</f>
        <v>OM3-008_5 min</v>
      </c>
      <c r="C79" s="6" t="str">
        <f>IF(OR(AND('Cq and Delta Cq'!C76&gt;'VITA Index summary'!$O$15,'Cq and Delta Cq'!C76&lt;'VITA Index summary'!$O$16),AND('Cq and Delta Cq'!D76&gt;'VITA Index summary'!$O$21,'Cq and Delta Cq'!D76&lt;'VITA Index summary'!$O$22)),"CT detected", "CT not detected")</f>
        <v>CT not detected</v>
      </c>
      <c r="D79" s="58" t="str" cm="1">
        <f t="array" ref="D79">IFERROR(_xlfn.IFS(C79="CT not detected","N/A",'Cq and Delta Cq'!C76&gt;'VITA Index summary'!$T$16,"Indeterminate",'Cq and Delta Cq'!D76&gt;'VITA Index summary'!$T$22,"Indeterminate",'Cq and Delta Cq'!C76&lt;'VITA Index summary'!$T$16,2^('Cq and Delta Cq'!I76)/2,'Cq and Delta Cq'!D76&lt;'VITA Index summary'!$T$22,2^('Cq and Delta Cq'!I76)/2),"Indeterminate")</f>
        <v>N/A</v>
      </c>
      <c r="E79" s="58">
        <f t="shared" si="2"/>
        <v>1.57</v>
      </c>
      <c r="F79" s="6" t="str">
        <f>IF(OR(AND('Cq and Delta Cq'!F76&gt;'VITA Index summary'!$O$27,'Cq and Delta Cq'!F76&lt;'VITA Index summary'!$O$28),AND('Cq and Delta Cq'!G76&gt;'VITA Index summary'!$O$33,'Cq and Delta Cq'!G76&lt;'VITA Index summary'!$O$34)),"NG detected", "NG not detected")</f>
        <v>NG detected</v>
      </c>
      <c r="G79" s="58" t="str" cm="1">
        <f t="array" ref="G79">IFERROR(_xlfn.IFS(F79="NG not detected","N/A",'Cq and Delta Cq'!F76&gt;'VITA Index summary'!$T$28,"Indeterminate",'Cq and Delta Cq'!G76&gt;'VITA Index summary'!$T$34,"Indeterminate",'Cq and Delta Cq'!F76&lt;'VITA Index summary'!$T$28,2^('Cq and Delta Cq'!J76)/2,'Cq and Delta Cq'!G76&lt;'VITA Index summary'!$T$34,2^('Cq and Delta Cq'!J76)/2),"Indeterminate")</f>
        <v>Indeterminate</v>
      </c>
      <c r="H79" s="56">
        <f t="shared" si="3"/>
        <v>1.46</v>
      </c>
      <c r="I79" s="7" t="str">
        <f>IFERROR(IF(AND('VITA Index summary'!$O$39&lt;'Cq and Delta Cq'!E76,'Cq and Delta Cq'!E76&lt;'VITA Index summary'!$O$40),"EC VALID","EC INVALID"),"EC INVALID")</f>
        <v>EC VALID</v>
      </c>
    </row>
    <row r="80" spans="1:9" x14ac:dyDescent="0.25">
      <c r="A80" s="5" t="str">
        <f>'Cq and Delta Cq'!A77</f>
        <v>H3</v>
      </c>
      <c r="B80" s="5" t="str">
        <f>'Cq and Delta Cq'!B77</f>
        <v>OM3-008_30 min</v>
      </c>
      <c r="C80" s="6" t="str">
        <f>IF(OR(AND('Cq and Delta Cq'!C77&gt;'VITA Index summary'!$O$15,'Cq and Delta Cq'!C77&lt;'VITA Index summary'!$O$16),AND('Cq and Delta Cq'!D77&gt;'VITA Index summary'!$O$21,'Cq and Delta Cq'!D77&lt;'VITA Index summary'!$O$22)),"CT detected", "CT not detected")</f>
        <v>CT not detected</v>
      </c>
      <c r="D80" s="58" t="str" cm="1">
        <f t="array" ref="D80">IFERROR(_xlfn.IFS(C80="CT not detected","N/A",'Cq and Delta Cq'!C77&gt;'VITA Index summary'!$T$16,"Indeterminate",'Cq and Delta Cq'!D77&gt;'VITA Index summary'!$T$22,"Indeterminate",'Cq and Delta Cq'!C77&lt;'VITA Index summary'!$T$16,2^('Cq and Delta Cq'!I77)/2,'Cq and Delta Cq'!D77&lt;'VITA Index summary'!$T$22,2^('Cq and Delta Cq'!I77)/2),"Indeterminate")</f>
        <v>N/A</v>
      </c>
      <c r="E80" s="58">
        <f t="shared" si="2"/>
        <v>1.57</v>
      </c>
      <c r="F80" s="6" t="str">
        <f>IF(OR(AND('Cq and Delta Cq'!F77&gt;'VITA Index summary'!$O$27,'Cq and Delta Cq'!F77&lt;'VITA Index summary'!$O$28),AND('Cq and Delta Cq'!G77&gt;'VITA Index summary'!$O$33,'Cq and Delta Cq'!G77&lt;'VITA Index summary'!$O$34)),"NG detected", "NG not detected")</f>
        <v>NG detected</v>
      </c>
      <c r="G80" s="58" t="str" cm="1">
        <f t="array" ref="G80">IFERROR(_xlfn.IFS(F80="NG not detected","N/A",'Cq and Delta Cq'!F77&gt;'VITA Index summary'!$T$28,"Indeterminate",'Cq and Delta Cq'!G77&gt;'VITA Index summary'!$T$34,"Indeterminate",'Cq and Delta Cq'!F77&lt;'VITA Index summary'!$T$28,2^('Cq and Delta Cq'!J77)/2,'Cq and Delta Cq'!G77&lt;'VITA Index summary'!$T$34,2^('Cq and Delta Cq'!J77)/2),"Indeterminate")</f>
        <v>Indeterminate</v>
      </c>
      <c r="H80" s="56">
        <f t="shared" si="3"/>
        <v>1.46</v>
      </c>
      <c r="I80" s="7" t="str">
        <f>IFERROR(IF(AND('VITA Index summary'!$O$39&lt;'Cq and Delta Cq'!E77,'Cq and Delta Cq'!E77&lt;'VITA Index summary'!$O$40),"EC VALID","EC INVALID"),"EC INVALID")</f>
        <v>EC VALID</v>
      </c>
    </row>
    <row r="81" spans="1:9" x14ac:dyDescent="0.25">
      <c r="A81" s="5" t="str">
        <f>'Cq and Delta Cq'!A78</f>
        <v>H4</v>
      </c>
      <c r="B81" s="5" t="str">
        <f>'Cq and Delta Cq'!B78</f>
        <v>OM3-008_60 min</v>
      </c>
      <c r="C81" s="6" t="str">
        <f>IF(OR(AND('Cq and Delta Cq'!C78&gt;'VITA Index summary'!$O$15,'Cq and Delta Cq'!C78&lt;'VITA Index summary'!$O$16),AND('Cq and Delta Cq'!D78&gt;'VITA Index summary'!$O$21,'Cq and Delta Cq'!D78&lt;'VITA Index summary'!$O$22)),"CT detected", "CT not detected")</f>
        <v>CT not detected</v>
      </c>
      <c r="D81" s="58" t="str" cm="1">
        <f t="array" ref="D81">IFERROR(_xlfn.IFS(C81="CT not detected","N/A",'Cq and Delta Cq'!C78&gt;'VITA Index summary'!$T$16,"Indeterminate",'Cq and Delta Cq'!D78&gt;'VITA Index summary'!$T$22,"Indeterminate",'Cq and Delta Cq'!C78&lt;'VITA Index summary'!$T$16,2^('Cq and Delta Cq'!I78)/2,'Cq and Delta Cq'!D78&lt;'VITA Index summary'!$T$22,2^('Cq and Delta Cq'!I78)/2),"Indeterminate")</f>
        <v>N/A</v>
      </c>
      <c r="E81" s="58">
        <f t="shared" si="2"/>
        <v>1.57</v>
      </c>
      <c r="F81" s="6" t="str">
        <f>IF(OR(AND('Cq and Delta Cq'!F78&gt;'VITA Index summary'!$O$27,'Cq and Delta Cq'!F78&lt;'VITA Index summary'!$O$28),AND('Cq and Delta Cq'!G78&gt;'VITA Index summary'!$O$33,'Cq and Delta Cq'!G78&lt;'VITA Index summary'!$O$34)),"NG detected", "NG not detected")</f>
        <v>NG detected</v>
      </c>
      <c r="G81" s="58" cm="1">
        <f t="array" ref="G81">IFERROR(_xlfn.IFS(F81="NG not detected","N/A",'Cq and Delta Cq'!F78&gt;'VITA Index summary'!$T$28,"Indeterminate",'Cq and Delta Cq'!G78&gt;'VITA Index summary'!$T$34,"Indeterminate",'Cq and Delta Cq'!F78&lt;'VITA Index summary'!$T$28,2^('Cq and Delta Cq'!J78)/2,'Cq and Delta Cq'!G78&lt;'VITA Index summary'!$T$34,2^('Cq and Delta Cq'!J78)/2),"Indeterminate")</f>
        <v>2.7421376962178097</v>
      </c>
      <c r="H81" s="56">
        <f t="shared" si="3"/>
        <v>1.46</v>
      </c>
      <c r="I81" s="7" t="str">
        <f>IFERROR(IF(AND('VITA Index summary'!$O$39&lt;'Cq and Delta Cq'!E78,'Cq and Delta Cq'!E78&lt;'VITA Index summary'!$O$40),"EC VALID","EC INVALID"),"EC INVALID")</f>
        <v>EC VALID</v>
      </c>
    </row>
    <row r="82" spans="1:9" x14ac:dyDescent="0.25">
      <c r="A82" s="5" t="str">
        <f>'Cq and Delta Cq'!A79</f>
        <v>H5</v>
      </c>
      <c r="B82" s="5" t="str">
        <f>'Cq and Delta Cq'!B79</f>
        <v>OM3-008_120 min</v>
      </c>
      <c r="C82" s="6" t="str">
        <f>IF(OR(AND('Cq and Delta Cq'!C79&gt;'VITA Index summary'!$O$15,'Cq and Delta Cq'!C79&lt;'VITA Index summary'!$O$16),AND('Cq and Delta Cq'!D79&gt;'VITA Index summary'!$O$21,'Cq and Delta Cq'!D79&lt;'VITA Index summary'!$O$22)),"CT detected", "CT not detected")</f>
        <v>CT not detected</v>
      </c>
      <c r="D82" s="58" t="str" cm="1">
        <f t="array" ref="D82">IFERROR(_xlfn.IFS(C82="CT not detected","N/A",'Cq and Delta Cq'!C79&gt;'VITA Index summary'!$T$16,"Indeterminate",'Cq and Delta Cq'!D79&gt;'VITA Index summary'!$T$22,"Indeterminate",'Cq and Delta Cq'!C79&lt;'VITA Index summary'!$T$16,2^('Cq and Delta Cq'!I79)/2,'Cq and Delta Cq'!D79&lt;'VITA Index summary'!$T$22,2^('Cq and Delta Cq'!I79)/2),"Indeterminate")</f>
        <v>N/A</v>
      </c>
      <c r="E82" s="58">
        <f t="shared" si="2"/>
        <v>1.57</v>
      </c>
      <c r="F82" s="6" t="str">
        <f>IF(OR(AND('Cq and Delta Cq'!F79&gt;'VITA Index summary'!$O$27,'Cq and Delta Cq'!F79&lt;'VITA Index summary'!$O$28),AND('Cq and Delta Cq'!G79&gt;'VITA Index summary'!$O$33,'Cq and Delta Cq'!G79&lt;'VITA Index summary'!$O$34)),"NG detected", "NG not detected")</f>
        <v>NG detected</v>
      </c>
      <c r="G82" s="58" cm="1">
        <f t="array" ref="G82">IFERROR(_xlfn.IFS(F82="NG not detected","N/A",'Cq and Delta Cq'!F79&gt;'VITA Index summary'!$T$28,"Indeterminate",'Cq and Delta Cq'!G79&gt;'VITA Index summary'!$T$34,"Indeterminate",'Cq and Delta Cq'!F79&lt;'VITA Index summary'!$T$28,2^('Cq and Delta Cq'!J79)/2,'Cq and Delta Cq'!G79&lt;'VITA Index summary'!$T$34,2^('Cq and Delta Cq'!J79)/2),"Indeterminate")</f>
        <v>2.3408208816928315</v>
      </c>
      <c r="H82" s="56">
        <f t="shared" si="3"/>
        <v>1.46</v>
      </c>
      <c r="I82" s="7" t="str">
        <f>IFERROR(IF(AND('VITA Index summary'!$O$39&lt;'Cq and Delta Cq'!E79,'Cq and Delta Cq'!E79&lt;'VITA Index summary'!$O$40),"EC VALID","EC INVALID"),"EC INVALID")</f>
        <v>EC VALID</v>
      </c>
    </row>
    <row r="83" spans="1:9" x14ac:dyDescent="0.25">
      <c r="A83" s="5" t="str">
        <f>'Cq and Delta Cq'!A80</f>
        <v>H6</v>
      </c>
      <c r="B83" s="5" t="str">
        <f>'Cq and Delta Cq'!B80</f>
        <v>OM3-016_0 min</v>
      </c>
      <c r="C83" s="6" t="str">
        <f>IF(OR(AND('Cq and Delta Cq'!C80&gt;'VITA Index summary'!$O$15,'Cq and Delta Cq'!C80&lt;'VITA Index summary'!$O$16),AND('Cq and Delta Cq'!D80&gt;'VITA Index summary'!$O$21,'Cq and Delta Cq'!D80&lt;'VITA Index summary'!$O$22)),"CT detected", "CT not detected")</f>
        <v>CT not detected</v>
      </c>
      <c r="D83" s="58" t="str" cm="1">
        <f t="array" ref="D83">IFERROR(_xlfn.IFS(C83="CT not detected","N/A",'Cq and Delta Cq'!C80&gt;'VITA Index summary'!$T$16,"Indeterminate",'Cq and Delta Cq'!D80&gt;'VITA Index summary'!$T$22,"Indeterminate",'Cq and Delta Cq'!C80&lt;'VITA Index summary'!$T$16,2^('Cq and Delta Cq'!I80)/2,'Cq and Delta Cq'!D80&lt;'VITA Index summary'!$T$22,2^('Cq and Delta Cq'!I80)/2),"Indeterminate")</f>
        <v>N/A</v>
      </c>
      <c r="E83" s="58">
        <f t="shared" si="2"/>
        <v>1.57</v>
      </c>
      <c r="F83" s="6" t="str">
        <f>IF(OR(AND('Cq and Delta Cq'!F80&gt;'VITA Index summary'!$O$27,'Cq and Delta Cq'!F80&lt;'VITA Index summary'!$O$28),AND('Cq and Delta Cq'!G80&gt;'VITA Index summary'!$O$33,'Cq and Delta Cq'!G80&lt;'VITA Index summary'!$O$34)),"NG detected", "NG not detected")</f>
        <v>NG detected</v>
      </c>
      <c r="G83" s="58" cm="1">
        <f t="array" ref="G83">IFERROR(_xlfn.IFS(F83="NG not detected","N/A",'Cq and Delta Cq'!F80&gt;'VITA Index summary'!$T$28,"Indeterminate",'Cq and Delta Cq'!G80&gt;'VITA Index summary'!$T$34,"Indeterminate",'Cq and Delta Cq'!F80&lt;'VITA Index summary'!$T$28,2^('Cq and Delta Cq'!J80)/2,'Cq and Delta Cq'!G80&lt;'VITA Index summary'!$T$34,2^('Cq and Delta Cq'!J80)/2),"Indeterminate")</f>
        <v>2.4607756857094807</v>
      </c>
      <c r="H83" s="56">
        <f t="shared" si="3"/>
        <v>1.46</v>
      </c>
      <c r="I83" s="7" t="str">
        <f>IFERROR(IF(AND('VITA Index summary'!$O$39&lt;'Cq and Delta Cq'!E80,'Cq and Delta Cq'!E80&lt;'VITA Index summary'!$O$40),"EC VALID","EC INVALID"),"EC INVALID")</f>
        <v>EC VALID</v>
      </c>
    </row>
    <row r="84" spans="1:9" x14ac:dyDescent="0.25">
      <c r="A84" s="5" t="str">
        <f>'Cq and Delta Cq'!A81</f>
        <v>H7</v>
      </c>
      <c r="B84" s="5" t="str">
        <f>'Cq and Delta Cq'!B81</f>
        <v>OM3-016_5 min</v>
      </c>
      <c r="C84" s="6" t="str">
        <f>IF(OR(AND('Cq and Delta Cq'!C81&gt;'VITA Index summary'!$O$15,'Cq and Delta Cq'!C81&lt;'VITA Index summary'!$O$16),AND('Cq and Delta Cq'!D81&gt;'VITA Index summary'!$O$21,'Cq and Delta Cq'!D81&lt;'VITA Index summary'!$O$22)),"CT detected", "CT not detected")</f>
        <v>CT not detected</v>
      </c>
      <c r="D84" s="58" t="str" cm="1">
        <f t="array" ref="D84">IFERROR(_xlfn.IFS(C84="CT not detected","N/A",'Cq and Delta Cq'!C81&gt;'VITA Index summary'!$T$16,"Indeterminate",'Cq and Delta Cq'!D81&gt;'VITA Index summary'!$T$22,"Indeterminate",'Cq and Delta Cq'!C81&lt;'VITA Index summary'!$T$16,2^('Cq and Delta Cq'!I81)/2,'Cq and Delta Cq'!D81&lt;'VITA Index summary'!$T$22,2^('Cq and Delta Cq'!I81)/2),"Indeterminate")</f>
        <v>N/A</v>
      </c>
      <c r="E84" s="58">
        <f t="shared" si="2"/>
        <v>1.57</v>
      </c>
      <c r="F84" s="6" t="str">
        <f>IF(OR(AND('Cq and Delta Cq'!F81&gt;'VITA Index summary'!$O$27,'Cq and Delta Cq'!F81&lt;'VITA Index summary'!$O$28),AND('Cq and Delta Cq'!G81&gt;'VITA Index summary'!$O$33,'Cq and Delta Cq'!G81&lt;'VITA Index summary'!$O$34)),"NG detected", "NG not detected")</f>
        <v>NG detected</v>
      </c>
      <c r="G84" s="58" cm="1">
        <f t="array" ref="G84">IFERROR(_xlfn.IFS(F84="NG not detected","N/A",'Cq and Delta Cq'!F81&gt;'VITA Index summary'!$T$28,"Indeterminate",'Cq and Delta Cq'!G81&gt;'VITA Index summary'!$T$34,"Indeterminate",'Cq and Delta Cq'!F81&lt;'VITA Index summary'!$T$28,2^('Cq and Delta Cq'!J81)/2,'Cq and Delta Cq'!G81&lt;'VITA Index summary'!$T$34,2^('Cq and Delta Cq'!J81)/2),"Indeterminate")</f>
        <v>2.9039886238051711</v>
      </c>
      <c r="H84" s="56">
        <f t="shared" si="3"/>
        <v>1.46</v>
      </c>
      <c r="I84" s="7" t="str">
        <f>IFERROR(IF(AND('VITA Index summary'!$O$39&lt;'Cq and Delta Cq'!E81,'Cq and Delta Cq'!E81&lt;'VITA Index summary'!$O$40),"EC VALID","EC INVALID"),"EC INVALID")</f>
        <v>EC VALID</v>
      </c>
    </row>
    <row r="85" spans="1:9" x14ac:dyDescent="0.25">
      <c r="A85" s="5" t="str">
        <f>'Cq and Delta Cq'!A82</f>
        <v>H8</v>
      </c>
      <c r="B85" s="5" t="str">
        <f>'Cq and Delta Cq'!B82</f>
        <v>OM3-016_30 min</v>
      </c>
      <c r="C85" s="6" t="str">
        <f>IF(OR(AND('Cq and Delta Cq'!C82&gt;'VITA Index summary'!$O$15,'Cq and Delta Cq'!C82&lt;'VITA Index summary'!$O$16),AND('Cq and Delta Cq'!D82&gt;'VITA Index summary'!$O$21,'Cq and Delta Cq'!D82&lt;'VITA Index summary'!$O$22)),"CT detected", "CT not detected")</f>
        <v>CT not detected</v>
      </c>
      <c r="D85" s="58" t="str" cm="1">
        <f t="array" ref="D85">IFERROR(_xlfn.IFS(C85="CT not detected","N/A",'Cq and Delta Cq'!C82&gt;'VITA Index summary'!$T$16,"Indeterminate",'Cq and Delta Cq'!D82&gt;'VITA Index summary'!$T$22,"Indeterminate",'Cq and Delta Cq'!C82&lt;'VITA Index summary'!$T$16,2^('Cq and Delta Cq'!I82)/2,'Cq and Delta Cq'!D82&lt;'VITA Index summary'!$T$22,2^('Cq and Delta Cq'!I82)/2),"Indeterminate")</f>
        <v>N/A</v>
      </c>
      <c r="E85" s="58">
        <f t="shared" si="2"/>
        <v>1.57</v>
      </c>
      <c r="F85" s="6" t="str">
        <f>IF(OR(AND('Cq and Delta Cq'!F82&gt;'VITA Index summary'!$O$27,'Cq and Delta Cq'!F82&lt;'VITA Index summary'!$O$28),AND('Cq and Delta Cq'!G82&gt;'VITA Index summary'!$O$33,'Cq and Delta Cq'!G82&lt;'VITA Index summary'!$O$34)),"NG detected", "NG not detected")</f>
        <v>NG detected</v>
      </c>
      <c r="G85" s="58" cm="1">
        <f t="array" ref="G85">IFERROR(_xlfn.IFS(F85="NG not detected","N/A",'Cq and Delta Cq'!F82&gt;'VITA Index summary'!$T$28,"Indeterminate",'Cq and Delta Cq'!G82&gt;'VITA Index summary'!$T$34,"Indeterminate",'Cq and Delta Cq'!F82&lt;'VITA Index summary'!$T$28,2^('Cq and Delta Cq'!J82)/2,'Cq and Delta Cq'!G82&lt;'VITA Index summary'!$T$34,2^('Cq and Delta Cq'!J82)/2),"Indeterminate")</f>
        <v>3.4756879446391045</v>
      </c>
      <c r="H85" s="56">
        <f t="shared" si="3"/>
        <v>1.46</v>
      </c>
      <c r="I85" s="7" t="str">
        <f>IFERROR(IF(AND('VITA Index summary'!$O$39&lt;'Cq and Delta Cq'!E82,'Cq and Delta Cq'!E82&lt;'VITA Index summary'!$O$40),"EC VALID","EC INVALID"),"EC INVALID")</f>
        <v>EC VALID</v>
      </c>
    </row>
    <row r="86" spans="1:9" x14ac:dyDescent="0.25">
      <c r="A86" s="5" t="str">
        <f>'Cq and Delta Cq'!A83</f>
        <v>H9</v>
      </c>
      <c r="B86" s="5" t="str">
        <f>'Cq and Delta Cq'!B83</f>
        <v>OM3-016_60 min</v>
      </c>
      <c r="C86" s="6" t="str">
        <f>IF(OR(AND('Cq and Delta Cq'!C83&gt;'VITA Index summary'!$O$15,'Cq and Delta Cq'!C83&lt;'VITA Index summary'!$O$16),AND('Cq and Delta Cq'!D83&gt;'VITA Index summary'!$O$21,'Cq and Delta Cq'!D83&lt;'VITA Index summary'!$O$22)),"CT detected", "CT not detected")</f>
        <v>CT not detected</v>
      </c>
      <c r="D86" s="58" t="str" cm="1">
        <f t="array" ref="D86">IFERROR(_xlfn.IFS(C86="CT not detected","N/A",'Cq and Delta Cq'!C83&gt;'VITA Index summary'!$T$16,"Indeterminate",'Cq and Delta Cq'!D83&gt;'VITA Index summary'!$T$22,"Indeterminate",'Cq and Delta Cq'!C83&lt;'VITA Index summary'!$T$16,2^('Cq and Delta Cq'!I83)/2,'Cq and Delta Cq'!D83&lt;'VITA Index summary'!$T$22,2^('Cq and Delta Cq'!I83)/2),"Indeterminate")</f>
        <v>N/A</v>
      </c>
      <c r="E86" s="58">
        <f t="shared" si="2"/>
        <v>1.57</v>
      </c>
      <c r="F86" s="6" t="str">
        <f>IF(OR(AND('Cq and Delta Cq'!F83&gt;'VITA Index summary'!$O$27,'Cq and Delta Cq'!F83&lt;'VITA Index summary'!$O$28),AND('Cq and Delta Cq'!G83&gt;'VITA Index summary'!$O$33,'Cq and Delta Cq'!G83&lt;'VITA Index summary'!$O$34)),"NG detected", "NG not detected")</f>
        <v>NG detected</v>
      </c>
      <c r="G86" s="58" cm="1">
        <f t="array" ref="G86">IFERROR(_xlfn.IFS(F86="NG not detected","N/A",'Cq and Delta Cq'!F83&gt;'VITA Index summary'!$T$28,"Indeterminate",'Cq and Delta Cq'!G83&gt;'VITA Index summary'!$T$34,"Indeterminate",'Cq and Delta Cq'!F83&lt;'VITA Index summary'!$T$28,2^('Cq and Delta Cq'!J83)/2,'Cq and Delta Cq'!G83&lt;'VITA Index summary'!$T$34,2^('Cq and Delta Cq'!J83)/2),"Indeterminate")</f>
        <v>2.371132969429036</v>
      </c>
      <c r="H86" s="56">
        <f t="shared" si="3"/>
        <v>1.46</v>
      </c>
      <c r="I86" s="7" t="str">
        <f>IFERROR(IF(AND('VITA Index summary'!$O$39&lt;'Cq and Delta Cq'!E83,'Cq and Delta Cq'!E83&lt;'VITA Index summary'!$O$40),"EC VALID","EC INVALID"),"EC INVALID")</f>
        <v>EC VALID</v>
      </c>
    </row>
    <row r="87" spans="1:9" x14ac:dyDescent="0.25">
      <c r="A87" s="5" t="str">
        <f>'Cq and Delta Cq'!A84</f>
        <v>H10</v>
      </c>
      <c r="B87" s="5" t="str">
        <f>'Cq and Delta Cq'!B84</f>
        <v>OM3-016_120 min</v>
      </c>
      <c r="C87" s="6" t="str">
        <f>IF(OR(AND('Cq and Delta Cq'!C84&gt;'VITA Index summary'!$O$15,'Cq and Delta Cq'!C84&lt;'VITA Index summary'!$O$16),AND('Cq and Delta Cq'!D84&gt;'VITA Index summary'!$O$21,'Cq and Delta Cq'!D84&lt;'VITA Index summary'!$O$22)),"CT detected", "CT not detected")</f>
        <v>CT not detected</v>
      </c>
      <c r="D87" s="58" t="str" cm="1">
        <f t="array" ref="D87">IFERROR(_xlfn.IFS(C87="CT not detected","N/A",'Cq and Delta Cq'!C84&gt;'VITA Index summary'!$T$16,"Indeterminate",'Cq and Delta Cq'!D84&gt;'VITA Index summary'!$T$22,"Indeterminate",'Cq and Delta Cq'!C84&lt;'VITA Index summary'!$T$16,2^('Cq and Delta Cq'!I84)/2,'Cq and Delta Cq'!D84&lt;'VITA Index summary'!$T$22,2^('Cq and Delta Cq'!I84)/2),"Indeterminate")</f>
        <v>N/A</v>
      </c>
      <c r="E87" s="58">
        <f t="shared" si="2"/>
        <v>1.57</v>
      </c>
      <c r="F87" s="6" t="str">
        <f>IF(OR(AND('Cq and Delta Cq'!F84&gt;'VITA Index summary'!$O$27,'Cq and Delta Cq'!F84&lt;'VITA Index summary'!$O$28),AND('Cq and Delta Cq'!G84&gt;'VITA Index summary'!$O$33,'Cq and Delta Cq'!G84&lt;'VITA Index summary'!$O$34)),"NG detected", "NG not detected")</f>
        <v>NG detected</v>
      </c>
      <c r="G87" s="58" cm="1">
        <f t="array" ref="G87">IFERROR(_xlfn.IFS(F87="NG not detected","N/A",'Cq and Delta Cq'!F84&gt;'VITA Index summary'!$T$28,"Indeterminate",'Cq and Delta Cq'!G84&gt;'VITA Index summary'!$T$34,"Indeterminate",'Cq and Delta Cq'!F84&lt;'VITA Index summary'!$T$28,2^('Cq and Delta Cq'!J84)/2,'Cq and Delta Cq'!G84&lt;'VITA Index summary'!$T$34,2^('Cq and Delta Cq'!J84)/2),"Indeterminate")</f>
        <v>3.0859876170625338</v>
      </c>
      <c r="H87" s="56">
        <f t="shared" si="3"/>
        <v>1.46</v>
      </c>
      <c r="I87" s="7" t="str">
        <f>IFERROR(IF(AND('VITA Index summary'!$O$39&lt;'Cq and Delta Cq'!E84,'Cq and Delta Cq'!E84&lt;'VITA Index summary'!$O$40),"EC VALID","EC INVALID"),"EC INVALID")</f>
        <v>EC VALID</v>
      </c>
    </row>
    <row r="88" spans="1:9" x14ac:dyDescent="0.25">
      <c r="A88" s="5" t="str">
        <f>'Cq and Delta Cq'!A85</f>
        <v>H11</v>
      </c>
      <c r="B88" s="5" t="str">
        <f>'Cq and Delta Cq'!B85</f>
        <v>vNG</v>
      </c>
      <c r="C88" s="6" t="str">
        <f>IF(OR(AND('Cq and Delta Cq'!C85&gt;'VITA Index summary'!$O$15,'Cq and Delta Cq'!C85&lt;'VITA Index summary'!$O$16),AND('Cq and Delta Cq'!D85&gt;'VITA Index summary'!$O$21,'Cq and Delta Cq'!D85&lt;'VITA Index summary'!$O$22)),"CT detected", "CT not detected")</f>
        <v>CT not detected</v>
      </c>
      <c r="D88" s="58" t="str" cm="1">
        <f t="array" ref="D88">IFERROR(_xlfn.IFS(C88="CT not detected","N/A",'Cq and Delta Cq'!C85&gt;'VITA Index summary'!$T$16,"Indeterminate",'Cq and Delta Cq'!D85&gt;'VITA Index summary'!$T$22,"Indeterminate",'Cq and Delta Cq'!C85&lt;'VITA Index summary'!$T$16,2^('Cq and Delta Cq'!I85)/2,'Cq and Delta Cq'!D85&lt;'VITA Index summary'!$T$22,2^('Cq and Delta Cq'!I85)/2),"Indeterminate")</f>
        <v>N/A</v>
      </c>
      <c r="E88" s="58">
        <f t="shared" si="2"/>
        <v>1.57</v>
      </c>
      <c r="F88" s="6" t="str">
        <f>IF(OR(AND('Cq and Delta Cq'!F85&gt;'VITA Index summary'!$O$27,'Cq and Delta Cq'!F85&lt;'VITA Index summary'!$O$28),AND('Cq and Delta Cq'!G85&gt;'VITA Index summary'!$O$33,'Cq and Delta Cq'!G85&lt;'VITA Index summary'!$O$34)),"NG detected", "NG not detected")</f>
        <v>NG detected</v>
      </c>
      <c r="G88" s="58" cm="1">
        <f t="array" ref="G88">IFERROR(_xlfn.IFS(F88="NG not detected","N/A",'Cq and Delta Cq'!F85&gt;'VITA Index summary'!$T$28,"Indeterminate",'Cq and Delta Cq'!G85&gt;'VITA Index summary'!$T$34,"Indeterminate",'Cq and Delta Cq'!F85&lt;'VITA Index summary'!$T$28,2^('Cq and Delta Cq'!J85)/2,'Cq and Delta Cq'!G85&lt;'VITA Index summary'!$T$34,2^('Cq and Delta Cq'!J85)/2),"Indeterminate")</f>
        <v>108.02933891801476</v>
      </c>
      <c r="H88" s="56">
        <f t="shared" si="3"/>
        <v>1.46</v>
      </c>
      <c r="I88" s="7" t="str">
        <f>IFERROR(IF(AND('VITA Index summary'!$O$39&lt;'Cq and Delta Cq'!E85,'Cq and Delta Cq'!E85&lt;'VITA Index summary'!$O$40),"EC VALID","EC INVALID"),"EC INVALID")</f>
        <v>EC INVALID</v>
      </c>
    </row>
    <row r="89" spans="1:9" x14ac:dyDescent="0.25">
      <c r="A89" s="5" t="str">
        <f>'Cq and Delta Cq'!A86</f>
        <v>H12</v>
      </c>
      <c r="B89" s="5" t="str">
        <f>'Cq and Delta Cq'!B86</f>
        <v>nvNG</v>
      </c>
      <c r="C89" s="6" t="str">
        <f>IF(OR(AND('Cq and Delta Cq'!C86&gt;'VITA Index summary'!$O$15,'Cq and Delta Cq'!C86&lt;'VITA Index summary'!$O$16),AND('Cq and Delta Cq'!D86&gt;'VITA Index summary'!$O$21,'Cq and Delta Cq'!D86&lt;'VITA Index summary'!$O$22)),"CT detected", "CT not detected")</f>
        <v>CT not detected</v>
      </c>
      <c r="D89" s="58" t="str" cm="1">
        <f t="array" ref="D89">IFERROR(_xlfn.IFS(C89="CT not detected","N/A",'Cq and Delta Cq'!C86&gt;'VITA Index summary'!$T$16,"Indeterminate",'Cq and Delta Cq'!D86&gt;'VITA Index summary'!$T$22,"Indeterminate",'Cq and Delta Cq'!C86&lt;'VITA Index summary'!$T$16,2^('Cq and Delta Cq'!I86)/2,'Cq and Delta Cq'!D86&lt;'VITA Index summary'!$T$22,2^('Cq and Delta Cq'!I86)/2),"Indeterminate")</f>
        <v>N/A</v>
      </c>
      <c r="E89" s="58">
        <f t="shared" si="2"/>
        <v>1.57</v>
      </c>
      <c r="F89" s="6" t="str">
        <f>IF(OR(AND('Cq and Delta Cq'!F86&gt;'VITA Index summary'!$O$27,'Cq and Delta Cq'!F86&lt;'VITA Index summary'!$O$28),AND('Cq and Delta Cq'!G86&gt;'VITA Index summary'!$O$33,'Cq and Delta Cq'!G86&lt;'VITA Index summary'!$O$34)),"NG detected", "NG not detected")</f>
        <v>NG detected</v>
      </c>
      <c r="G89" s="58" cm="1">
        <f t="array" ref="G89">IFERROR(_xlfn.IFS(F89="NG not detected","N/A",'Cq and Delta Cq'!F86&gt;'VITA Index summary'!$T$28,"Indeterminate",'Cq and Delta Cq'!G86&gt;'VITA Index summary'!$T$34,"Indeterminate",'Cq and Delta Cq'!F86&lt;'VITA Index summary'!$T$28,2^('Cq and Delta Cq'!J86)/2,'Cq and Delta Cq'!G86&lt;'VITA Index summary'!$T$34,2^('Cq and Delta Cq'!J86)/2),"Indeterminate")</f>
        <v>7.0835062386063994</v>
      </c>
      <c r="H89" s="56">
        <f t="shared" si="3"/>
        <v>1.46</v>
      </c>
      <c r="I89" s="7" t="str">
        <f>IFERROR(IF(AND('VITA Index summary'!$O$39&lt;'Cq and Delta Cq'!E86,'Cq and Delta Cq'!E86&lt;'VITA Index summary'!$O$40),"EC VALID","EC INVALID"),"EC INVALID")</f>
        <v>EC INVALID</v>
      </c>
    </row>
    <row r="90" spans="1:9" x14ac:dyDescent="0.25">
      <c r="A90" s="5">
        <f>'Cq and Delta Cq'!A87</f>
        <v>0</v>
      </c>
      <c r="B90" s="5">
        <f>'Cq and Delta Cq'!B87</f>
        <v>0</v>
      </c>
      <c r="C90" s="6" t="e">
        <f>IF(OR(AND('Cq and Delta Cq'!C87&gt;'VITA Index summary'!$O$15,'Cq and Delta Cq'!C87&lt;'VITA Index summary'!$O$16),AND('Cq and Delta Cq'!D87&gt;'VITA Index summary'!$O$21,'Cq and Delta Cq'!D87&lt;'VITA Index summary'!$O$22)),"CT detected", "CT not detected")</f>
        <v>#N/A</v>
      </c>
      <c r="D90" s="58" t="str" cm="1">
        <f t="array" ref="D90">IFERROR(_xlfn.IFS(C90="CT not detected","N/A",'Cq and Delta Cq'!C87&gt;'VITA Index summary'!$T$16,"Indeterminate",'Cq and Delta Cq'!D87&gt;'VITA Index summary'!$T$22,"Indeterminate",'Cq and Delta Cq'!C87&lt;'VITA Index summary'!$T$16,2^('Cq and Delta Cq'!I87)/2,'Cq and Delta Cq'!D87&lt;'VITA Index summary'!$T$22,2^('Cq and Delta Cq'!I87)/2),"Indeterminate")</f>
        <v>Indeterminate</v>
      </c>
      <c r="E90" s="58">
        <f t="shared" si="2"/>
        <v>1.57</v>
      </c>
      <c r="F90" s="6" t="e">
        <f>IF(OR(AND('Cq and Delta Cq'!F87&gt;'VITA Index summary'!$O$27,'Cq and Delta Cq'!F87&lt;'VITA Index summary'!$O$28),AND('Cq and Delta Cq'!G87&gt;'VITA Index summary'!$O$33,'Cq and Delta Cq'!G87&lt;'VITA Index summary'!$O$34)),"NG detected", "NG not detected")</f>
        <v>#N/A</v>
      </c>
      <c r="G90" s="58" t="str" cm="1">
        <f t="array" ref="G90">IFERROR(_xlfn.IFS(F90="NG not detected","N/A",'Cq and Delta Cq'!F87&gt;'VITA Index summary'!$T$28,"Indeterminate",'Cq and Delta Cq'!G87&gt;'VITA Index summary'!$T$34,"Indeterminate",'Cq and Delta Cq'!F87&lt;'VITA Index summary'!$T$28,2^('Cq and Delta Cq'!J87)/2,'Cq and Delta Cq'!G87&lt;'VITA Index summary'!$T$34,2^('Cq and Delta Cq'!J87)/2),"Indeterminate")</f>
        <v>Indeterminate</v>
      </c>
      <c r="H90" s="56">
        <f t="shared" si="3"/>
        <v>1.46</v>
      </c>
      <c r="I90" s="7" t="str">
        <f>IFERROR(IF(AND('VITA Index summary'!$O$39&lt;'Cq and Delta Cq'!E87,'Cq and Delta Cq'!E87&lt;'VITA Index summary'!$O$40),"EC VALID","EC INVALID"),"EC INVALID")</f>
        <v>EC INVALID</v>
      </c>
    </row>
    <row r="91" spans="1:9" x14ac:dyDescent="0.25">
      <c r="A91" s="5">
        <f>'Cq and Delta Cq'!A88</f>
        <v>0</v>
      </c>
      <c r="B91" s="5">
        <f>'Cq and Delta Cq'!B88</f>
        <v>0</v>
      </c>
      <c r="C91" s="6" t="e">
        <f>IF(OR(AND('Cq and Delta Cq'!C88&gt;'VITA Index summary'!$O$15,'Cq and Delta Cq'!C88&lt;'VITA Index summary'!$O$16),AND('Cq and Delta Cq'!D88&gt;'VITA Index summary'!$O$21,'Cq and Delta Cq'!D88&lt;'VITA Index summary'!$O$22)),"CT detected", "CT not detected")</f>
        <v>#N/A</v>
      </c>
      <c r="D91" s="58" t="str" cm="1">
        <f t="array" ref="D91">IFERROR(_xlfn.IFS(C91="CT not detected","N/A",'Cq and Delta Cq'!C88&gt;'VITA Index summary'!$T$16,"Indeterminate",'Cq and Delta Cq'!D88&gt;'VITA Index summary'!$T$22,"Indeterminate",'Cq and Delta Cq'!C88&lt;'VITA Index summary'!$T$16,2^('Cq and Delta Cq'!I88)/2,'Cq and Delta Cq'!D88&lt;'VITA Index summary'!$T$22,2^('Cq and Delta Cq'!I88)/2),"Indeterminate")</f>
        <v>Indeterminate</v>
      </c>
      <c r="E91" s="58">
        <f t="shared" si="2"/>
        <v>1.57</v>
      </c>
      <c r="F91" s="6" t="e">
        <f>IF(OR(AND('Cq and Delta Cq'!F88&gt;'VITA Index summary'!$O$27,'Cq and Delta Cq'!F88&lt;'VITA Index summary'!$O$28),AND('Cq and Delta Cq'!G88&gt;'VITA Index summary'!$O$33,'Cq and Delta Cq'!G88&lt;'VITA Index summary'!$O$34)),"NG detected", "NG not detected")</f>
        <v>#N/A</v>
      </c>
      <c r="G91" s="58" t="str" cm="1">
        <f t="array" ref="G91">IFERROR(_xlfn.IFS(F91="NG not detected","N/A",'Cq and Delta Cq'!F88&gt;'VITA Index summary'!$T$28,"Indeterminate",'Cq and Delta Cq'!G88&gt;'VITA Index summary'!$T$34,"Indeterminate",'Cq and Delta Cq'!F88&lt;'VITA Index summary'!$T$28,2^('Cq and Delta Cq'!J88)/2,'Cq and Delta Cq'!G88&lt;'VITA Index summary'!$T$34,2^('Cq and Delta Cq'!J88)/2),"Indeterminate")</f>
        <v>Indeterminate</v>
      </c>
      <c r="H91" s="56">
        <f t="shared" si="3"/>
        <v>1.46</v>
      </c>
      <c r="I91" s="7" t="str">
        <f>IFERROR(IF(AND('VITA Index summary'!$O$39&lt;'Cq and Delta Cq'!E88,'Cq and Delta Cq'!E88&lt;'VITA Index summary'!$O$40),"EC VALID","EC INVALID"),"EC INVALID")</f>
        <v>EC INVALID</v>
      </c>
    </row>
    <row r="92" spans="1:9" x14ac:dyDescent="0.25">
      <c r="A92" s="5">
        <f>'Cq and Delta Cq'!A89</f>
        <v>0</v>
      </c>
      <c r="B92" s="5">
        <f>'Cq and Delta Cq'!B89</f>
        <v>0</v>
      </c>
      <c r="C92" s="6" t="e">
        <f>IF(OR(AND('Cq and Delta Cq'!C89&gt;'VITA Index summary'!$O$15,'Cq and Delta Cq'!C89&lt;'VITA Index summary'!$O$16),AND('Cq and Delta Cq'!D89&gt;'VITA Index summary'!$O$21,'Cq and Delta Cq'!D89&lt;'VITA Index summary'!$O$22)),"CT detected", "CT not detected")</f>
        <v>#N/A</v>
      </c>
      <c r="D92" s="58" t="str" cm="1">
        <f t="array" ref="D92">IFERROR(_xlfn.IFS(C92="CT not detected","N/A",'Cq and Delta Cq'!C89&gt;'VITA Index summary'!$T$16,"Indeterminate",'Cq and Delta Cq'!D89&gt;'VITA Index summary'!$T$22,"Indeterminate",'Cq and Delta Cq'!C89&lt;'VITA Index summary'!$T$16,2^('Cq and Delta Cq'!I89)/2,'Cq and Delta Cq'!D89&lt;'VITA Index summary'!$T$22,2^('Cq and Delta Cq'!I89)/2),"Indeterminate")</f>
        <v>Indeterminate</v>
      </c>
      <c r="E92" s="58">
        <f t="shared" si="2"/>
        <v>1.57</v>
      </c>
      <c r="F92" s="6" t="e">
        <f>IF(OR(AND('Cq and Delta Cq'!F89&gt;'VITA Index summary'!$O$27,'Cq and Delta Cq'!F89&lt;'VITA Index summary'!$O$28),AND('Cq and Delta Cq'!G89&gt;'VITA Index summary'!$O$33,'Cq and Delta Cq'!G89&lt;'VITA Index summary'!$O$34)),"NG detected", "NG not detected")</f>
        <v>#N/A</v>
      </c>
      <c r="G92" s="58" t="str" cm="1">
        <f t="array" ref="G92">IFERROR(_xlfn.IFS(F92="NG not detected","N/A",'Cq and Delta Cq'!F89&gt;'VITA Index summary'!$T$28,"Indeterminate",'Cq and Delta Cq'!G89&gt;'VITA Index summary'!$T$34,"Indeterminate",'Cq and Delta Cq'!F89&lt;'VITA Index summary'!$T$28,2^('Cq and Delta Cq'!J89)/2,'Cq and Delta Cq'!G89&lt;'VITA Index summary'!$T$34,2^('Cq and Delta Cq'!J89)/2),"Indeterminate")</f>
        <v>Indeterminate</v>
      </c>
      <c r="H92" s="56">
        <f t="shared" si="3"/>
        <v>1.46</v>
      </c>
      <c r="I92" s="7" t="str">
        <f>IFERROR(IF(AND('VITA Index summary'!$O$39&lt;'Cq and Delta Cq'!E89,'Cq and Delta Cq'!E89&lt;'VITA Index summary'!$O$40),"EC VALID","EC INVALID"),"EC INVALID")</f>
        <v>EC INVALID</v>
      </c>
    </row>
    <row r="93" spans="1:9" x14ac:dyDescent="0.25">
      <c r="A93" s="5">
        <f>'Cq and Delta Cq'!A90</f>
        <v>0</v>
      </c>
      <c r="B93" s="5">
        <f>'Cq and Delta Cq'!B90</f>
        <v>0</v>
      </c>
      <c r="C93" s="6" t="e">
        <f>IF(OR(AND('Cq and Delta Cq'!C90&gt;'VITA Index summary'!$O$15,'Cq and Delta Cq'!C90&lt;'VITA Index summary'!$O$16),AND('Cq and Delta Cq'!D90&gt;'VITA Index summary'!$O$21,'Cq and Delta Cq'!D90&lt;'VITA Index summary'!$O$22)),"CT detected", "CT not detected")</f>
        <v>#N/A</v>
      </c>
      <c r="D93" s="58" t="str" cm="1">
        <f t="array" ref="D93">IFERROR(_xlfn.IFS(C93="CT not detected","N/A",'Cq and Delta Cq'!C90&gt;'VITA Index summary'!$T$16,"Indeterminate",'Cq and Delta Cq'!D90&gt;'VITA Index summary'!$T$22,"Indeterminate",'Cq and Delta Cq'!C90&lt;'VITA Index summary'!$T$16,2^('Cq and Delta Cq'!I90)/2,'Cq and Delta Cq'!D90&lt;'VITA Index summary'!$T$22,2^('Cq and Delta Cq'!I90)/2),"Indeterminate")</f>
        <v>Indeterminate</v>
      </c>
      <c r="E93" s="58">
        <f t="shared" si="2"/>
        <v>1.57</v>
      </c>
      <c r="F93" s="6" t="e">
        <f>IF(OR(AND('Cq and Delta Cq'!F90&gt;'VITA Index summary'!$O$27,'Cq and Delta Cq'!F90&lt;'VITA Index summary'!$O$28),AND('Cq and Delta Cq'!G90&gt;'VITA Index summary'!$O$33,'Cq and Delta Cq'!G90&lt;'VITA Index summary'!$O$34)),"NG detected", "NG not detected")</f>
        <v>#N/A</v>
      </c>
      <c r="G93" s="58" t="str" cm="1">
        <f t="array" ref="G93">IFERROR(_xlfn.IFS(F93="NG not detected","N/A",'Cq and Delta Cq'!F90&gt;'VITA Index summary'!$T$28,"Indeterminate",'Cq and Delta Cq'!G90&gt;'VITA Index summary'!$T$34,"Indeterminate",'Cq and Delta Cq'!F90&lt;'VITA Index summary'!$T$28,2^('Cq and Delta Cq'!J90)/2,'Cq and Delta Cq'!G90&lt;'VITA Index summary'!$T$34,2^('Cq and Delta Cq'!J90)/2),"Indeterminate")</f>
        <v>Indeterminate</v>
      </c>
      <c r="H93" s="56">
        <f t="shared" si="3"/>
        <v>1.46</v>
      </c>
      <c r="I93" s="7" t="str">
        <f>IFERROR(IF(AND('VITA Index summary'!$O$39&lt;'Cq and Delta Cq'!E90,'Cq and Delta Cq'!E90&lt;'VITA Index summary'!$O$40),"EC VALID","EC INVALID"),"EC INVALID")</f>
        <v>EC INVALID</v>
      </c>
    </row>
    <row r="94" spans="1:9" x14ac:dyDescent="0.25">
      <c r="A94" s="5">
        <f>'Cq and Delta Cq'!A91</f>
        <v>0</v>
      </c>
      <c r="B94" s="5">
        <f>'Cq and Delta Cq'!B91</f>
        <v>0</v>
      </c>
      <c r="C94" s="6" t="e">
        <f>IF(OR(AND('Cq and Delta Cq'!C91&gt;'VITA Index summary'!$O$15,'Cq and Delta Cq'!C91&lt;'VITA Index summary'!$O$16),AND('Cq and Delta Cq'!D91&gt;'VITA Index summary'!$O$21,'Cq and Delta Cq'!D91&lt;'VITA Index summary'!$O$22)),"CT detected", "CT not detected")</f>
        <v>#N/A</v>
      </c>
      <c r="D94" s="58" t="str" cm="1">
        <f t="array" ref="D94">IFERROR(_xlfn.IFS(C94="CT not detected","N/A",'Cq and Delta Cq'!C91&gt;'VITA Index summary'!$T$16,"Indeterminate",'Cq and Delta Cq'!D91&gt;'VITA Index summary'!$T$22,"Indeterminate",'Cq and Delta Cq'!C91&lt;'VITA Index summary'!$T$16,2^('Cq and Delta Cq'!I91)/2,'Cq and Delta Cq'!D91&lt;'VITA Index summary'!$T$22,2^('Cq and Delta Cq'!I91)/2),"Indeterminate")</f>
        <v>Indeterminate</v>
      </c>
      <c r="E94" s="58">
        <f t="shared" si="2"/>
        <v>1.57</v>
      </c>
      <c r="F94" s="6" t="e">
        <f>IF(OR(AND('Cq and Delta Cq'!F91&gt;'VITA Index summary'!$O$27,'Cq and Delta Cq'!F91&lt;'VITA Index summary'!$O$28),AND('Cq and Delta Cq'!G91&gt;'VITA Index summary'!$O$33,'Cq and Delta Cq'!G91&lt;'VITA Index summary'!$O$34)),"NG detected", "NG not detected")</f>
        <v>#N/A</v>
      </c>
      <c r="G94" s="58" t="str" cm="1">
        <f t="array" ref="G94">IFERROR(_xlfn.IFS(F94="NG not detected","N/A",'Cq and Delta Cq'!F91&gt;'VITA Index summary'!$T$28,"Indeterminate",'Cq and Delta Cq'!G91&gt;'VITA Index summary'!$T$34,"Indeterminate",'Cq and Delta Cq'!F91&lt;'VITA Index summary'!$T$28,2^('Cq and Delta Cq'!J91)/2,'Cq and Delta Cq'!G91&lt;'VITA Index summary'!$T$34,2^('Cq and Delta Cq'!J91)/2),"Indeterminate")</f>
        <v>Indeterminate</v>
      </c>
      <c r="H94" s="56">
        <f t="shared" si="3"/>
        <v>1.46</v>
      </c>
      <c r="I94" s="7" t="str">
        <f>IFERROR(IF(AND('VITA Index summary'!$O$39&lt;'Cq and Delta Cq'!E91,'Cq and Delta Cq'!E91&lt;'VITA Index summary'!$O$40),"EC VALID","EC INVALID"),"EC INVALID")</f>
        <v>EC INVALID</v>
      </c>
    </row>
    <row r="95" spans="1:9" x14ac:dyDescent="0.25">
      <c r="A95" s="5">
        <f>'Cq and Delta Cq'!A92</f>
        <v>0</v>
      </c>
      <c r="B95" s="5">
        <f>'Cq and Delta Cq'!B92</f>
        <v>0</v>
      </c>
      <c r="C95" s="6" t="e">
        <f>IF(OR(AND('Cq and Delta Cq'!C92&gt;'VITA Index summary'!$O$15,'Cq and Delta Cq'!C92&lt;'VITA Index summary'!$O$16),AND('Cq and Delta Cq'!D92&gt;'VITA Index summary'!$O$21,'Cq and Delta Cq'!D92&lt;'VITA Index summary'!$O$22)),"CT detected", "CT not detected")</f>
        <v>#N/A</v>
      </c>
      <c r="D95" s="58" t="str" cm="1">
        <f t="array" ref="D95">IFERROR(_xlfn.IFS(C95="CT not detected","N/A",'Cq and Delta Cq'!C92&gt;'VITA Index summary'!$T$16,"Indeterminate",'Cq and Delta Cq'!D92&gt;'VITA Index summary'!$T$22,"Indeterminate",'Cq and Delta Cq'!C92&lt;'VITA Index summary'!$T$16,2^('Cq and Delta Cq'!I92)/2,'Cq and Delta Cq'!D92&lt;'VITA Index summary'!$T$22,2^('Cq and Delta Cq'!I92)/2),"Indeterminate")</f>
        <v>Indeterminate</v>
      </c>
      <c r="E95" s="58">
        <f t="shared" si="2"/>
        <v>1.57</v>
      </c>
      <c r="F95" s="6" t="e">
        <f>IF(OR(AND('Cq and Delta Cq'!F92&gt;'VITA Index summary'!$O$27,'Cq and Delta Cq'!F92&lt;'VITA Index summary'!$O$28),AND('Cq and Delta Cq'!G92&gt;'VITA Index summary'!$O$33,'Cq and Delta Cq'!G92&lt;'VITA Index summary'!$O$34)),"NG detected", "NG not detected")</f>
        <v>#N/A</v>
      </c>
      <c r="G95" s="58" t="str" cm="1">
        <f t="array" ref="G95">IFERROR(_xlfn.IFS(F95="NG not detected","N/A",'Cq and Delta Cq'!F92&gt;'VITA Index summary'!$T$28,"Indeterminate",'Cq and Delta Cq'!G92&gt;'VITA Index summary'!$T$34,"Indeterminate",'Cq and Delta Cq'!F92&lt;'VITA Index summary'!$T$28,2^('Cq and Delta Cq'!J92)/2,'Cq and Delta Cq'!G92&lt;'VITA Index summary'!$T$34,2^('Cq and Delta Cq'!J92)/2),"Indeterminate")</f>
        <v>Indeterminate</v>
      </c>
      <c r="H95" s="56">
        <f t="shared" si="3"/>
        <v>1.46</v>
      </c>
      <c r="I95" s="7" t="str">
        <f>IFERROR(IF(AND('VITA Index summary'!$O$39&lt;'Cq and Delta Cq'!E92,'Cq and Delta Cq'!E92&lt;'VITA Index summary'!$O$40),"EC VALID","EC INVALID"),"EC INVALID")</f>
        <v>EC INVALID</v>
      </c>
    </row>
    <row r="96" spans="1:9" x14ac:dyDescent="0.25">
      <c r="A96" s="5">
        <f>'Cq and Delta Cq'!A93</f>
        <v>0</v>
      </c>
      <c r="B96" s="5">
        <f>'Cq and Delta Cq'!B93</f>
        <v>0</v>
      </c>
      <c r="C96" s="6" t="e">
        <f>IF(OR(AND('Cq and Delta Cq'!C93&gt;'VITA Index summary'!$O$15,'Cq and Delta Cq'!C93&lt;'VITA Index summary'!$O$16),AND('Cq and Delta Cq'!D93&gt;'VITA Index summary'!$O$21,'Cq and Delta Cq'!D93&lt;'VITA Index summary'!$O$22)),"CT detected", "CT not detected")</f>
        <v>#N/A</v>
      </c>
      <c r="D96" s="58" t="str" cm="1">
        <f t="array" ref="D96">IFERROR(_xlfn.IFS(C96="CT not detected","N/A",'Cq and Delta Cq'!C93&gt;'VITA Index summary'!$T$16,"Indeterminate",'Cq and Delta Cq'!D93&gt;'VITA Index summary'!$T$22,"Indeterminate",'Cq and Delta Cq'!C93&lt;'VITA Index summary'!$T$16,2^('Cq and Delta Cq'!I93)/2,'Cq and Delta Cq'!D93&lt;'VITA Index summary'!$T$22,2^('Cq and Delta Cq'!I93)/2),"Indeterminate")</f>
        <v>Indeterminate</v>
      </c>
      <c r="E96" s="58">
        <f t="shared" si="2"/>
        <v>1.57</v>
      </c>
      <c r="F96" s="6" t="e">
        <f>IF(OR(AND('Cq and Delta Cq'!F93&gt;'VITA Index summary'!$O$27,'Cq and Delta Cq'!F93&lt;'VITA Index summary'!$O$28),AND('Cq and Delta Cq'!G93&gt;'VITA Index summary'!$O$33,'Cq and Delta Cq'!G93&lt;'VITA Index summary'!$O$34)),"NG detected", "NG not detected")</f>
        <v>#N/A</v>
      </c>
      <c r="G96" s="58" t="str" cm="1">
        <f t="array" ref="G96">IFERROR(_xlfn.IFS(F96="NG not detected","N/A",'Cq and Delta Cq'!F93&gt;'VITA Index summary'!$T$28,"Indeterminate",'Cq and Delta Cq'!G93&gt;'VITA Index summary'!$T$34,"Indeterminate",'Cq and Delta Cq'!F93&lt;'VITA Index summary'!$T$28,2^('Cq and Delta Cq'!J93)/2,'Cq and Delta Cq'!G93&lt;'VITA Index summary'!$T$34,2^('Cq and Delta Cq'!J93)/2),"Indeterminate")</f>
        <v>Indeterminate</v>
      </c>
      <c r="H96" s="56">
        <f t="shared" si="3"/>
        <v>1.46</v>
      </c>
      <c r="I96" s="7" t="str">
        <f>IFERROR(IF(AND('VITA Index summary'!$O$39&lt;'Cq and Delta Cq'!E93,'Cq and Delta Cq'!E93&lt;'VITA Index summary'!$O$40),"EC VALID","EC INVALID"),"EC INVALID")</f>
        <v>EC INVALID</v>
      </c>
    </row>
    <row r="97" spans="1:9" x14ac:dyDescent="0.25">
      <c r="A97" s="5">
        <f>'Cq and Delta Cq'!A94</f>
        <v>0</v>
      </c>
      <c r="B97" s="5">
        <f>'Cq and Delta Cq'!B94</f>
        <v>0</v>
      </c>
      <c r="C97" s="6" t="e">
        <f>IF(OR(AND('Cq and Delta Cq'!C94&gt;'VITA Index summary'!$O$15,'Cq and Delta Cq'!C94&lt;'VITA Index summary'!$O$16),AND('Cq and Delta Cq'!D94&gt;'VITA Index summary'!$O$21,'Cq and Delta Cq'!D94&lt;'VITA Index summary'!$O$22)),"CT detected", "CT not detected")</f>
        <v>#N/A</v>
      </c>
      <c r="D97" s="58" t="str" cm="1">
        <f t="array" ref="D97">IFERROR(_xlfn.IFS(C97="CT not detected","N/A",'Cq and Delta Cq'!C94&gt;'VITA Index summary'!$T$16,"Indeterminate",'Cq and Delta Cq'!D94&gt;'VITA Index summary'!$T$22,"Indeterminate",'Cq and Delta Cq'!C94&lt;'VITA Index summary'!$T$16,2^('Cq and Delta Cq'!I94)/2,'Cq and Delta Cq'!D94&lt;'VITA Index summary'!$T$22,2^('Cq and Delta Cq'!I94)/2),"Indeterminate")</f>
        <v>Indeterminate</v>
      </c>
      <c r="E97" s="58">
        <f t="shared" si="2"/>
        <v>1.57</v>
      </c>
      <c r="F97" s="6" t="e">
        <f>IF(OR(AND('Cq and Delta Cq'!F94&gt;'VITA Index summary'!$O$27,'Cq and Delta Cq'!F94&lt;'VITA Index summary'!$O$28),AND('Cq and Delta Cq'!G94&gt;'VITA Index summary'!$O$33,'Cq and Delta Cq'!G94&lt;'VITA Index summary'!$O$34)),"NG detected", "NG not detected")</f>
        <v>#N/A</v>
      </c>
      <c r="G97" s="58" t="str" cm="1">
        <f t="array" ref="G97">IFERROR(_xlfn.IFS(F97="NG not detected","N/A",'Cq and Delta Cq'!F94&gt;'VITA Index summary'!$T$28,"Indeterminate",'Cq and Delta Cq'!G94&gt;'VITA Index summary'!$T$34,"Indeterminate",'Cq and Delta Cq'!F94&lt;'VITA Index summary'!$T$28,2^('Cq and Delta Cq'!J94)/2,'Cq and Delta Cq'!G94&lt;'VITA Index summary'!$T$34,2^('Cq and Delta Cq'!J94)/2),"Indeterminate")</f>
        <v>Indeterminate</v>
      </c>
      <c r="H97" s="56">
        <f t="shared" si="3"/>
        <v>1.46</v>
      </c>
      <c r="I97" s="7" t="str">
        <f>IFERROR(IF(AND('VITA Index summary'!$O$39&lt;'Cq and Delta Cq'!E94,'Cq and Delta Cq'!E94&lt;'VITA Index summary'!$O$40),"EC VALID","EC INVALID"),"EC INVALID")</f>
        <v>EC INVALID</v>
      </c>
    </row>
    <row r="98" spans="1:9" x14ac:dyDescent="0.25">
      <c r="A98" s="5">
        <f>'Cq and Delta Cq'!A95</f>
        <v>0</v>
      </c>
      <c r="B98" s="5">
        <f>'Cq and Delta Cq'!B95</f>
        <v>0</v>
      </c>
      <c r="C98" s="6" t="e">
        <f>IF(OR(AND('Cq and Delta Cq'!C95&gt;'VITA Index summary'!$O$15,'Cq and Delta Cq'!C95&lt;'VITA Index summary'!$O$16),AND('Cq and Delta Cq'!D95&gt;'VITA Index summary'!$O$21,'Cq and Delta Cq'!D95&lt;'VITA Index summary'!$O$22)),"CT detected", "CT not detected")</f>
        <v>#N/A</v>
      </c>
      <c r="D98" s="58" t="str" cm="1">
        <f t="array" ref="D98">IFERROR(_xlfn.IFS(C98="CT not detected","N/A",'Cq and Delta Cq'!C95&gt;'VITA Index summary'!$T$16,"Indeterminate",'Cq and Delta Cq'!D95&gt;'VITA Index summary'!$T$22,"Indeterminate",'Cq and Delta Cq'!C95&lt;'VITA Index summary'!$T$16,2^('Cq and Delta Cq'!I95)/2,'Cq and Delta Cq'!D95&lt;'VITA Index summary'!$T$22,2^('Cq and Delta Cq'!I95)/2),"Indeterminate")</f>
        <v>Indeterminate</v>
      </c>
      <c r="E98" s="58">
        <f t="shared" si="2"/>
        <v>1.57</v>
      </c>
      <c r="F98" s="6" t="e">
        <f>IF(OR(AND('Cq and Delta Cq'!F95&gt;'VITA Index summary'!$O$27,'Cq and Delta Cq'!F95&lt;'VITA Index summary'!$O$28),AND('Cq and Delta Cq'!G95&gt;'VITA Index summary'!$O$33,'Cq and Delta Cq'!G95&lt;'VITA Index summary'!$O$34)),"NG detected", "NG not detected")</f>
        <v>#N/A</v>
      </c>
      <c r="G98" s="58" t="str" cm="1">
        <f t="array" ref="G98">IFERROR(_xlfn.IFS(F98="NG not detected","N/A",'Cq and Delta Cq'!F95&gt;'VITA Index summary'!$T$28,"Indeterminate",'Cq and Delta Cq'!G95&gt;'VITA Index summary'!$T$34,"Indeterminate",'Cq and Delta Cq'!F95&lt;'VITA Index summary'!$T$28,2^('Cq and Delta Cq'!J95)/2,'Cq and Delta Cq'!G95&lt;'VITA Index summary'!$T$34,2^('Cq and Delta Cq'!J95)/2),"Indeterminate")</f>
        <v>Indeterminate</v>
      </c>
      <c r="H98" s="56">
        <f t="shared" si="3"/>
        <v>1.46</v>
      </c>
      <c r="I98" s="7" t="str">
        <f>IFERROR(IF(AND('VITA Index summary'!$O$39&lt;'Cq and Delta Cq'!E95,'Cq and Delta Cq'!E95&lt;'VITA Index summary'!$O$40),"EC VALID","EC INVALID"),"EC INVALID")</f>
        <v>EC INVALID</v>
      </c>
    </row>
    <row r="99" spans="1:9" x14ac:dyDescent="0.25">
      <c r="A99" s="5">
        <f>'Cq and Delta Cq'!A96</f>
        <v>0</v>
      </c>
      <c r="B99" s="5">
        <f>'Cq and Delta Cq'!B96</f>
        <v>0</v>
      </c>
      <c r="C99" s="6" t="e">
        <f>IF(OR(AND('Cq and Delta Cq'!C96&gt;'VITA Index summary'!$O$15,'Cq and Delta Cq'!C96&lt;'VITA Index summary'!$O$16),AND('Cq and Delta Cq'!D96&gt;'VITA Index summary'!$O$21,'Cq and Delta Cq'!D96&lt;'VITA Index summary'!$O$22)),"CT detected", "CT not detected")</f>
        <v>#N/A</v>
      </c>
      <c r="D99" s="58" t="str" cm="1">
        <f t="array" ref="D99">IFERROR(_xlfn.IFS(C99="CT not detected","N/A",'Cq and Delta Cq'!C96&gt;'VITA Index summary'!$T$16,"Indeterminate",'Cq and Delta Cq'!D96&gt;'VITA Index summary'!$T$22,"Indeterminate",'Cq and Delta Cq'!C96&lt;'VITA Index summary'!$T$16,2^('Cq and Delta Cq'!I96)/2,'Cq and Delta Cq'!D96&lt;'VITA Index summary'!$T$22,2^('Cq and Delta Cq'!I96)/2),"Indeterminate")</f>
        <v>Indeterminate</v>
      </c>
      <c r="E99" s="58">
        <f t="shared" si="2"/>
        <v>1.57</v>
      </c>
      <c r="F99" s="6" t="e">
        <f>IF(OR(AND('Cq and Delta Cq'!F96&gt;'VITA Index summary'!$O$27,'Cq and Delta Cq'!F96&lt;'VITA Index summary'!$O$28),AND('Cq and Delta Cq'!G96&gt;'VITA Index summary'!$O$33,'Cq and Delta Cq'!G96&lt;'VITA Index summary'!$O$34)),"NG detected", "NG not detected")</f>
        <v>#N/A</v>
      </c>
      <c r="G99" s="58" t="str" cm="1">
        <f t="array" ref="G99">IFERROR(_xlfn.IFS(F99="NG not detected","N/A",'Cq and Delta Cq'!F96&gt;'VITA Index summary'!$T$28,"Indeterminate",'Cq and Delta Cq'!G96&gt;'VITA Index summary'!$T$34,"Indeterminate",'Cq and Delta Cq'!F96&lt;'VITA Index summary'!$T$28,2^('Cq and Delta Cq'!J96)/2,'Cq and Delta Cq'!G96&lt;'VITA Index summary'!$T$34,2^('Cq and Delta Cq'!J96)/2),"Indeterminate")</f>
        <v>Indeterminate</v>
      </c>
      <c r="H99" s="56">
        <f t="shared" si="3"/>
        <v>1.46</v>
      </c>
      <c r="I99" s="7" t="str">
        <f>IFERROR(IF(AND('VITA Index summary'!$O$39&lt;'Cq and Delta Cq'!E96,'Cq and Delta Cq'!E96&lt;'VITA Index summary'!$O$40),"EC VALID","EC INVALID"),"EC INVALID")</f>
        <v>EC INVALID</v>
      </c>
    </row>
    <row r="100" spans="1:9" x14ac:dyDescent="0.25">
      <c r="A100" s="5">
        <f>'Cq and Delta Cq'!A97</f>
        <v>0</v>
      </c>
      <c r="B100" s="5">
        <f>'Cq and Delta Cq'!B97</f>
        <v>0</v>
      </c>
      <c r="C100" s="6" t="e">
        <f>IF(OR(AND('Cq and Delta Cq'!C97&gt;'VITA Index summary'!$O$15,'Cq and Delta Cq'!C97&lt;'VITA Index summary'!$O$16),AND('Cq and Delta Cq'!D97&gt;'VITA Index summary'!$O$21,'Cq and Delta Cq'!D97&lt;'VITA Index summary'!$O$22)),"CT detected", "CT not detected")</f>
        <v>#N/A</v>
      </c>
      <c r="D100" s="58" t="str" cm="1">
        <f t="array" ref="D100">IFERROR(_xlfn.IFS(C100="CT not detected","N/A",'Cq and Delta Cq'!C97&gt;'VITA Index summary'!$T$16,"Indeterminate",'Cq and Delta Cq'!D97&gt;'VITA Index summary'!$T$22,"Indeterminate",'Cq and Delta Cq'!C97&lt;'VITA Index summary'!$T$16,2^('Cq and Delta Cq'!I97)/2,'Cq and Delta Cq'!D97&lt;'VITA Index summary'!$T$22,2^('Cq and Delta Cq'!I97)/2),"Indeterminate")</f>
        <v>Indeterminate</v>
      </c>
      <c r="E100" s="58">
        <f t="shared" si="2"/>
        <v>1.57</v>
      </c>
      <c r="F100" s="6" t="e">
        <f>IF(OR(AND('Cq and Delta Cq'!F97&gt;'VITA Index summary'!$O$27,'Cq and Delta Cq'!F97&lt;'VITA Index summary'!$O$28),AND('Cq and Delta Cq'!G97&gt;'VITA Index summary'!$O$33,'Cq and Delta Cq'!G97&lt;'VITA Index summary'!$O$34)),"NG detected", "NG not detected")</f>
        <v>#N/A</v>
      </c>
      <c r="G100" s="58" t="str" cm="1">
        <f t="array" ref="G100">IFERROR(_xlfn.IFS(F100="NG not detected","N/A",'Cq and Delta Cq'!F97&gt;'VITA Index summary'!$T$28,"Indeterminate",'Cq and Delta Cq'!G97&gt;'VITA Index summary'!$T$34,"Indeterminate",'Cq and Delta Cq'!F97&lt;'VITA Index summary'!$T$28,2^('Cq and Delta Cq'!J97)/2,'Cq and Delta Cq'!G97&lt;'VITA Index summary'!$T$34,2^('Cq and Delta Cq'!J97)/2),"Indeterminate")</f>
        <v>Indeterminate</v>
      </c>
      <c r="H100" s="56">
        <f t="shared" si="3"/>
        <v>1.46</v>
      </c>
      <c r="I100" s="7" t="str">
        <f>IFERROR(IF(AND('VITA Index summary'!$O$39&lt;'Cq and Delta Cq'!E97,'Cq and Delta Cq'!E97&lt;'VITA Index summary'!$O$40),"EC VALID","EC INVALID"),"EC INVALID")</f>
        <v>EC INVALID</v>
      </c>
    </row>
  </sheetData>
  <sheetProtection selectLockedCells="1" selectUnlockedCells="1"/>
  <protectedRanges>
    <protectedRange sqref="R13:U14 M1:P14 M17:P20 M15:N16 P15:P16 R17:U20 R15:S16 U15:U16 M23:P26 M21:N22 P21:P22 R23:U26 R21:S22 U21:U22 M29:P32 M27:N28 P27:P28 R29:U32 R27:S28 U27:U28 M35:P38 M33:N34 P33:P34 R35:U35 R33:S34 U33:U34 M41:P1048576 M39:N40 P39:P40" name="Range1"/>
    <protectedRange sqref="O15:O16" name="Range1_1"/>
    <protectedRange sqref="T15:T16" name="Range1_2"/>
    <protectedRange sqref="O21:O22" name="Range1_3"/>
    <protectedRange sqref="T21:T22" name="Range1_4"/>
    <protectedRange sqref="O27:O28" name="Range1_5"/>
    <protectedRange sqref="T27:T28" name="Range1_6"/>
    <protectedRange sqref="O33:O34" name="Range1_7"/>
    <protectedRange sqref="T33:T34" name="Range1_8"/>
    <protectedRange sqref="O39:O40" name="Range1_9"/>
  </protectedRanges>
  <conditionalFormatting sqref="A5:A100">
    <cfRule type="containsText" dxfId="49" priority="37" operator="containsText" text="Check sample input">
      <formula>NOT(ISERROR(SEARCH("Check sample input",A5)))</formula>
    </cfRule>
  </conditionalFormatting>
  <conditionalFormatting sqref="C5:C100 F5:F100">
    <cfRule type="cellIs" dxfId="48" priority="35" operator="equal">
      <formula>"NG not detected"</formula>
    </cfRule>
    <cfRule type="cellIs" dxfId="47" priority="36" operator="equal">
      <formula>"NG detected"</formula>
    </cfRule>
  </conditionalFormatting>
  <conditionalFormatting sqref="C5:C100">
    <cfRule type="cellIs" dxfId="46" priority="26" operator="equal">
      <formula>"CT detected"</formula>
    </cfRule>
    <cfRule type="cellIs" dxfId="45" priority="27" operator="equal">
      <formula>"CT not detected"</formula>
    </cfRule>
  </conditionalFormatting>
  <conditionalFormatting sqref="D5:E100">
    <cfRule type="cellIs" dxfId="44" priority="1" operator="greaterThan">
      <formula>$O$8</formula>
    </cfRule>
    <cfRule type="cellIs" dxfId="43" priority="2" operator="lessThanOrEqual">
      <formula>$O$8</formula>
    </cfRule>
  </conditionalFormatting>
  <conditionalFormatting sqref="F5:F100">
    <cfRule type="cellIs" dxfId="42" priority="11" operator="equal">
      <formula>"CT detected"</formula>
    </cfRule>
    <cfRule type="cellIs" dxfId="41" priority="12" operator="equal">
      <formula>"CT not detected"</formula>
    </cfRule>
    <cfRule type="cellIs" dxfId="40" priority="14" operator="equal">
      <formula>"IFI27 detected"</formula>
    </cfRule>
    <cfRule type="cellIs" dxfId="39" priority="15" operator="equal">
      <formula>"IFI27 not detected"</formula>
    </cfRule>
  </conditionalFormatting>
  <conditionalFormatting sqref="G5:H100">
    <cfRule type="cellIs" dxfId="38" priority="7" operator="greaterThan">
      <formula>$O$7</formula>
    </cfRule>
    <cfRule type="cellIs" dxfId="37" priority="8" operator="lessThanOrEqual">
      <formula>$O$7</formula>
    </cfRule>
  </conditionalFormatting>
  <conditionalFormatting sqref="I5:I100">
    <cfRule type="cellIs" dxfId="36" priority="19" operator="equal">
      <formula>"EC VALID"</formula>
    </cfRule>
    <cfRule type="cellIs" dxfId="35" priority="20" operator="equal">
      <formula>"EC INVALID"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AA6E-1EA2-4AC0-ABD5-EB8E20D4D01F}">
  <dimension ref="B2:T121"/>
  <sheetViews>
    <sheetView tabSelected="1" topLeftCell="A82" zoomScale="70" zoomScaleNormal="70" workbookViewId="0">
      <selection activeCell="I125" sqref="I125"/>
    </sheetView>
  </sheetViews>
  <sheetFormatPr defaultRowHeight="15" x14ac:dyDescent="0.25"/>
  <cols>
    <col min="2" max="2" width="8.28515625" bestFit="1" customWidth="1"/>
    <col min="3" max="3" width="43" customWidth="1"/>
    <col min="4" max="4" width="20.28515625" customWidth="1"/>
    <col min="5" max="5" width="21.85546875" customWidth="1"/>
    <col min="6" max="6" width="21.140625" customWidth="1"/>
    <col min="7" max="7" width="22.5703125" customWidth="1"/>
    <col min="8" max="8" width="15.140625" bestFit="1" customWidth="1"/>
    <col min="9" max="9" width="17.28515625" bestFit="1" customWidth="1"/>
    <col min="10" max="10" width="24.140625" bestFit="1" customWidth="1"/>
    <col min="11" max="11" width="16.42578125" customWidth="1"/>
    <col min="12" max="12" width="21.85546875" customWidth="1"/>
    <col min="13" max="13" width="20.85546875" bestFit="1" customWidth="1"/>
    <col min="14" max="14" width="14" bestFit="1" customWidth="1"/>
    <col min="15" max="15" width="43.42578125" customWidth="1"/>
    <col min="16" max="16" width="39.5703125" customWidth="1"/>
    <col min="17" max="17" width="47.5703125" customWidth="1"/>
  </cols>
  <sheetData>
    <row r="2" spans="2:20" x14ac:dyDescent="0.25">
      <c r="B2" s="33"/>
      <c r="C2" s="34"/>
      <c r="D2" s="34"/>
      <c r="E2" s="34" t="s">
        <v>6</v>
      </c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5"/>
    </row>
    <row r="3" spans="2:20" x14ac:dyDescent="0.25">
      <c r="B3" s="36"/>
      <c r="E3" t="s">
        <v>7</v>
      </c>
      <c r="T3" s="37"/>
    </row>
    <row r="4" spans="2:20" x14ac:dyDescent="0.25">
      <c r="B4" s="36"/>
      <c r="T4" s="37"/>
    </row>
    <row r="5" spans="2:20" x14ac:dyDescent="0.25">
      <c r="B5" s="36"/>
      <c r="E5" t="s">
        <v>96</v>
      </c>
      <c r="I5" t="s">
        <v>97</v>
      </c>
      <c r="T5" s="37"/>
    </row>
    <row r="6" spans="2:20" x14ac:dyDescent="0.25">
      <c r="B6" s="36"/>
      <c r="E6" t="s">
        <v>98</v>
      </c>
      <c r="I6" t="s">
        <v>99</v>
      </c>
      <c r="T6" s="37"/>
    </row>
    <row r="7" spans="2:20" x14ac:dyDescent="0.25">
      <c r="B7" s="36"/>
      <c r="E7" t="s">
        <v>100</v>
      </c>
      <c r="I7" t="str">
        <f>CONCATENATE("≤",'VITA Index summary'!$O$8," (non-viable) or &gt;",'VITA Index summary'!$O$8," (viable)")</f>
        <v>≤1.57 (non-viable) or &gt;1.57 (viable)</v>
      </c>
      <c r="T7" s="37"/>
    </row>
    <row r="8" spans="2:20" x14ac:dyDescent="0.25">
      <c r="B8" s="36"/>
      <c r="E8" t="s">
        <v>101</v>
      </c>
      <c r="I8" t="str">
        <f>CONCATENATE("≤",'VITA Index summary'!$O$7," (non-viable) or &gt;",'VITA Index summary'!$O$7," (viable)")</f>
        <v>≤1.46 (non-viable) or &gt;1.46 (viable)</v>
      </c>
      <c r="T8" s="37"/>
    </row>
    <row r="9" spans="2:20" x14ac:dyDescent="0.25">
      <c r="B9" s="36"/>
      <c r="E9" s="38" t="s">
        <v>102</v>
      </c>
      <c r="I9" t="s">
        <v>103</v>
      </c>
      <c r="T9" s="37"/>
    </row>
    <row r="10" spans="2:20" x14ac:dyDescent="0.25">
      <c r="B10" s="36"/>
      <c r="T10" s="37"/>
    </row>
    <row r="11" spans="2:20" x14ac:dyDescent="0.25">
      <c r="B11" s="36"/>
      <c r="C11" s="2" t="s">
        <v>8</v>
      </c>
      <c r="D11" s="3" t="s">
        <v>76</v>
      </c>
      <c r="E11" s="2" t="s">
        <v>77</v>
      </c>
      <c r="F11" s="3" t="s">
        <v>78</v>
      </c>
      <c r="G11" s="2" t="s">
        <v>79</v>
      </c>
      <c r="H11" s="3" t="s">
        <v>44</v>
      </c>
      <c r="I11" s="3" t="s">
        <v>4</v>
      </c>
      <c r="J11" s="27"/>
      <c r="K11" s="27"/>
      <c r="L11" s="27"/>
      <c r="M11" s="27"/>
      <c r="N11" s="27"/>
      <c r="O11" s="27"/>
      <c r="P11" s="28"/>
      <c r="T11" s="37"/>
    </row>
    <row r="12" spans="2:20" x14ac:dyDescent="0.25">
      <c r="B12" s="36"/>
      <c r="C12" s="2">
        <v>1</v>
      </c>
      <c r="D12" s="6" t="s">
        <v>81</v>
      </c>
      <c r="E12" s="22" t="s">
        <v>85</v>
      </c>
      <c r="F12" s="6" t="s">
        <v>86</v>
      </c>
      <c r="G12" s="22" t="s">
        <v>85</v>
      </c>
      <c r="H12" s="63" t="s">
        <v>87</v>
      </c>
      <c r="I12" s="43" t="s">
        <v>88</v>
      </c>
      <c r="J12" s="34"/>
      <c r="K12" s="34"/>
      <c r="L12" s="34"/>
      <c r="M12" s="34"/>
      <c r="N12" s="34"/>
      <c r="O12" s="34"/>
      <c r="P12" s="35"/>
      <c r="T12" s="37"/>
    </row>
    <row r="13" spans="2:20" x14ac:dyDescent="0.25">
      <c r="B13" s="36"/>
      <c r="C13" s="2">
        <v>2</v>
      </c>
      <c r="D13" s="6" t="s">
        <v>81</v>
      </c>
      <c r="E13" s="22" t="s">
        <v>85</v>
      </c>
      <c r="F13" s="6" t="s">
        <v>86</v>
      </c>
      <c r="G13" s="22" t="s">
        <v>85</v>
      </c>
      <c r="H13" s="63" t="s">
        <v>84</v>
      </c>
      <c r="I13" s="6" t="s">
        <v>89</v>
      </c>
      <c r="J13" s="27"/>
      <c r="K13" s="27"/>
      <c r="L13" s="27"/>
      <c r="M13" s="27"/>
      <c r="N13" s="27"/>
      <c r="O13" s="27"/>
      <c r="P13" s="28"/>
      <c r="T13" s="37"/>
    </row>
    <row r="14" spans="2:20" ht="15" customHeight="1" x14ac:dyDescent="0.25">
      <c r="B14" s="36"/>
      <c r="C14" s="2">
        <v>3</v>
      </c>
      <c r="D14" s="6" t="s">
        <v>83</v>
      </c>
      <c r="E14" s="22" t="s">
        <v>113</v>
      </c>
      <c r="F14" s="6" t="s">
        <v>94</v>
      </c>
      <c r="G14" s="22" t="s">
        <v>113</v>
      </c>
      <c r="H14" s="63" t="s">
        <v>87</v>
      </c>
      <c r="I14" s="29" t="s">
        <v>93</v>
      </c>
      <c r="J14" s="30"/>
      <c r="K14" s="30"/>
      <c r="L14" s="30"/>
      <c r="M14" s="30"/>
      <c r="N14" s="30"/>
      <c r="O14" s="30"/>
      <c r="P14" s="31"/>
      <c r="T14" s="37"/>
    </row>
    <row r="15" spans="2:20" ht="15" customHeight="1" x14ac:dyDescent="0.25">
      <c r="B15" s="36"/>
      <c r="C15" s="2">
        <v>4</v>
      </c>
      <c r="D15" s="6" t="s">
        <v>83</v>
      </c>
      <c r="E15" s="22" t="s">
        <v>113</v>
      </c>
      <c r="F15" s="6" t="s">
        <v>94</v>
      </c>
      <c r="G15" s="22" t="s">
        <v>113</v>
      </c>
      <c r="H15" s="64" t="s">
        <v>84</v>
      </c>
      <c r="I15" s="24" t="s">
        <v>5</v>
      </c>
      <c r="J15" s="27"/>
      <c r="K15" s="27"/>
      <c r="L15" s="27"/>
      <c r="M15" s="27"/>
      <c r="N15" s="27"/>
      <c r="O15" s="27"/>
      <c r="P15" s="28"/>
      <c r="T15" s="37"/>
    </row>
    <row r="16" spans="2:20" x14ac:dyDescent="0.25">
      <c r="B16" s="36"/>
      <c r="C16" s="2">
        <v>5</v>
      </c>
      <c r="D16" s="6" t="s">
        <v>83</v>
      </c>
      <c r="E16" s="22">
        <v>32</v>
      </c>
      <c r="F16" s="6" t="s">
        <v>94</v>
      </c>
      <c r="G16" s="22">
        <v>32</v>
      </c>
      <c r="H16" s="63" t="s">
        <v>87</v>
      </c>
      <c r="I16" s="6" t="s">
        <v>110</v>
      </c>
      <c r="J16" s="27"/>
      <c r="K16" s="27"/>
      <c r="L16" s="27"/>
      <c r="M16" s="27"/>
      <c r="N16" s="27"/>
      <c r="O16" s="27"/>
      <c r="P16" s="28"/>
      <c r="T16" s="37"/>
    </row>
    <row r="17" spans="2:20" x14ac:dyDescent="0.25">
      <c r="B17" s="36"/>
      <c r="C17" s="2">
        <v>6</v>
      </c>
      <c r="D17" s="6" t="s">
        <v>83</v>
      </c>
      <c r="E17" s="22">
        <v>32</v>
      </c>
      <c r="F17" s="6" t="s">
        <v>94</v>
      </c>
      <c r="G17" s="22">
        <v>32</v>
      </c>
      <c r="H17" s="63" t="s">
        <v>84</v>
      </c>
      <c r="I17" s="29" t="s">
        <v>109</v>
      </c>
      <c r="J17" s="30"/>
      <c r="K17" s="30"/>
      <c r="L17" s="30"/>
      <c r="M17" s="30"/>
      <c r="N17" s="30"/>
      <c r="O17" s="30"/>
      <c r="P17" s="31"/>
      <c r="T17" s="37"/>
    </row>
    <row r="18" spans="2:20" x14ac:dyDescent="0.25">
      <c r="B18" s="36"/>
      <c r="C18" s="18"/>
      <c r="I18" s="1"/>
      <c r="J18" s="1"/>
      <c r="L18" s="25"/>
      <c r="M18" s="25"/>
      <c r="N18" s="1"/>
      <c r="O18" s="1"/>
      <c r="T18" s="37"/>
    </row>
    <row r="19" spans="2:20" x14ac:dyDescent="0.25">
      <c r="B19" s="36"/>
      <c r="C19" s="32" t="s">
        <v>95</v>
      </c>
      <c r="I19" s="1"/>
      <c r="J19" s="1"/>
      <c r="L19" s="25"/>
      <c r="M19" s="25"/>
      <c r="N19" s="1"/>
      <c r="O19" s="1"/>
      <c r="T19" s="37"/>
    </row>
    <row r="20" spans="2:20" x14ac:dyDescent="0.25">
      <c r="B20" s="36"/>
      <c r="C20" s="32"/>
      <c r="I20" s="1"/>
      <c r="J20" s="1"/>
      <c r="L20" s="25"/>
      <c r="M20" s="25"/>
      <c r="N20" s="1"/>
      <c r="O20" s="1"/>
      <c r="T20" s="37"/>
    </row>
    <row r="21" spans="2:20" x14ac:dyDescent="0.25">
      <c r="B21" s="39"/>
      <c r="C21" s="40"/>
      <c r="D21" s="30"/>
      <c r="E21" s="30"/>
      <c r="F21" s="30"/>
      <c r="G21" s="30"/>
      <c r="H21" s="30"/>
      <c r="I21" s="41"/>
      <c r="J21" s="41"/>
      <c r="K21" s="30"/>
      <c r="L21" s="42"/>
      <c r="M21" s="42"/>
      <c r="N21" s="41"/>
      <c r="O21" s="41"/>
      <c r="P21" s="30"/>
      <c r="Q21" s="30"/>
      <c r="R21" s="30"/>
      <c r="S21" s="30"/>
      <c r="T21" s="31"/>
    </row>
    <row r="22" spans="2:20" x14ac:dyDescent="0.25">
      <c r="C22" s="32"/>
      <c r="I22" s="1"/>
      <c r="J22" s="1"/>
      <c r="L22" s="25"/>
      <c r="M22" s="25"/>
      <c r="N22" s="1"/>
      <c r="O22" s="1"/>
    </row>
    <row r="23" spans="2:20" x14ac:dyDescent="0.25">
      <c r="J23" s="1"/>
      <c r="L23" s="25"/>
      <c r="M23" s="25"/>
      <c r="N23" s="1"/>
      <c r="O23" s="1"/>
    </row>
    <row r="24" spans="2:20" x14ac:dyDescent="0.25">
      <c r="B24" s="19"/>
      <c r="C24" s="19"/>
      <c r="D24" s="23" t="s">
        <v>45</v>
      </c>
      <c r="E24" s="23" t="s">
        <v>43</v>
      </c>
      <c r="F24" s="23" t="s">
        <v>44</v>
      </c>
      <c r="G24" s="23" t="s">
        <v>37</v>
      </c>
      <c r="H24" s="23" t="s">
        <v>42</v>
      </c>
    </row>
    <row r="25" spans="2:20" x14ac:dyDescent="0.25">
      <c r="B25" s="20" t="s">
        <v>1</v>
      </c>
      <c r="C25" s="20" t="s">
        <v>0</v>
      </c>
      <c r="D25" s="20" t="s">
        <v>27</v>
      </c>
      <c r="E25" s="20" t="s">
        <v>27</v>
      </c>
      <c r="F25" s="20" t="s">
        <v>27</v>
      </c>
      <c r="G25" s="20" t="s">
        <v>27</v>
      </c>
      <c r="H25" s="20" t="s">
        <v>27</v>
      </c>
      <c r="J25" s="2" t="s">
        <v>76</v>
      </c>
      <c r="K25" s="2" t="s">
        <v>77</v>
      </c>
      <c r="L25" s="2" t="s">
        <v>78</v>
      </c>
      <c r="M25" s="54" t="s">
        <v>79</v>
      </c>
      <c r="N25" s="54" t="s">
        <v>90</v>
      </c>
      <c r="O25" s="2" t="s">
        <v>104</v>
      </c>
      <c r="P25" s="2" t="s">
        <v>105</v>
      </c>
      <c r="Q25" s="68"/>
    </row>
    <row r="26" spans="2:20" x14ac:dyDescent="0.25">
      <c r="B26" s="21" t="str">
        <f>'VITA Index summary'!A5</f>
        <v>A1</v>
      </c>
      <c r="C26" s="21" t="str">
        <f>'VITA Index summary'!B5</f>
        <v>OM3-001_0 min</v>
      </c>
      <c r="D26" s="55" t="str">
        <f>IFERROR(ROUND('Cq and Delta Cq'!C2,2),"N/A")</f>
        <v>N/A</v>
      </c>
      <c r="E26" s="55" t="str">
        <f>IFERROR(ROUND('Cq and Delta Cq'!D2,2),"N/A")</f>
        <v>N/A</v>
      </c>
      <c r="F26" s="55">
        <f>IFERROR(ROUND('Cq and Delta Cq'!E2,2),"N/A")</f>
        <v>25.56</v>
      </c>
      <c r="G26" s="55">
        <f>IFERROR(ROUND('Cq and Delta Cq'!F2,2),"N/A")</f>
        <v>29.15</v>
      </c>
      <c r="H26" s="55">
        <f>IFERROR(ROUND('Cq and Delta Cq'!G2,2),"N/A")</f>
        <v>32.17</v>
      </c>
      <c r="J26" s="22" t="str">
        <f>'VITA Index summary'!C5</f>
        <v>CT not detected</v>
      </c>
      <c r="K26" s="56" t="str">
        <f>IF(AND('VITA Index summary'!C5="NG detected",'VITA Index summary'!D5="N/A"),"Indeterminate",IF(AND('VITA Index summary'!C5="NG detected",'VITA Index summary'!D5&lt;0.2),"Indeterminate",'VITA Index summary'!D5))</f>
        <v>N/A</v>
      </c>
      <c r="L26" s="26" t="str">
        <f>'VITA Index summary'!F5</f>
        <v>NG detected</v>
      </c>
      <c r="M26" s="56" t="str">
        <f>IF(AND('VITA Index summary'!F5="NG detected",'VITA Index summary'!G5="N/A"),"Indeterminate",IF(AND('VITA Index summary'!F5="NG detected",'VITA Index summary'!G5&lt;0.5),"Indeterminate",'VITA Index summary'!G5))</f>
        <v>Indeterminate</v>
      </c>
      <c r="N26" s="57" t="str">
        <f>'VITA Index summary'!I5</f>
        <v>EC VALID</v>
      </c>
      <c r="O26" s="22" t="str" cm="1">
        <f t="array" ref="O26">CONCATENATE(_xlfn.IFS(N26="EC INVALID","Invalid EC, repeat test/re-extract sample",J26="CT not detected","CT not detected",K26="Indeterminate","CT detected, Indeterminate Viability",K26&gt;'VITA Index summary'!$O$8,"CT detected, Viable",K26&lt;0.2,"CT detected, Indeterminate Viability",K26&lt;='VITA Index summary'!$O$8,"CT detected, Non-viable"))</f>
        <v>CT not detected</v>
      </c>
      <c r="P26" s="22" t="str" cm="1">
        <f t="array" ref="P26">CONCATENATE(_xlfn.IFS(N26="EC INVALID","Invalid EC, repeat test/re-extract sample",L26="NG not detected","NG not detected",M26="Indeterminate", "NG detected, Indeterminate Viability", M26&gt;'VITA Index summary'!$O$7,"NG detected, Viable",M26&lt;0.5,"NG detected, Indeterminate Viability",M26&lt;='VITA Index summary'!$O$7,"NG detected, Non-viable"))</f>
        <v>NG detected, Indeterminate Viability</v>
      </c>
    </row>
    <row r="27" spans="2:20" x14ac:dyDescent="0.25">
      <c r="B27" s="21" t="str">
        <f>'VITA Index summary'!A6</f>
        <v>A2</v>
      </c>
      <c r="C27" s="21" t="str">
        <f>'VITA Index summary'!B6</f>
        <v>OM3-001_5 min</v>
      </c>
      <c r="D27" s="55" t="str">
        <f>IFERROR(ROUND('Cq and Delta Cq'!C3,2),"N/A")</f>
        <v>N/A</v>
      </c>
      <c r="E27" s="55" t="str">
        <f>IFERROR(ROUND('Cq and Delta Cq'!D3,2),"N/A")</f>
        <v>N/A</v>
      </c>
      <c r="F27" s="55">
        <f>IFERROR(ROUND('Cq and Delta Cq'!E3,2),"N/A")</f>
        <v>26.3</v>
      </c>
      <c r="G27" s="55">
        <f>IFERROR(ROUND('Cq and Delta Cq'!F3,2),"N/A")</f>
        <v>29.2</v>
      </c>
      <c r="H27" s="55">
        <f>IFERROR(ROUND('Cq and Delta Cq'!G3,2),"N/A")</f>
        <v>32.39</v>
      </c>
      <c r="J27" s="22" t="str">
        <f>'VITA Index summary'!C6</f>
        <v>CT not detected</v>
      </c>
      <c r="K27" s="56" t="str">
        <f>IF(AND('VITA Index summary'!C6="NG detected",'VITA Index summary'!D6="N/A"),"Indeterminate",IF(AND('VITA Index summary'!C6="NG detected",'VITA Index summary'!D6&lt;0.2),"Indeterminate",'VITA Index summary'!D6))</f>
        <v>N/A</v>
      </c>
      <c r="L27" s="26" t="str">
        <f>'VITA Index summary'!F6</f>
        <v>NG detected</v>
      </c>
      <c r="M27" s="56" t="str">
        <f>IF(AND('VITA Index summary'!F6="NG detected",'VITA Index summary'!G6="N/A"),"Indeterminate",IF(AND('VITA Index summary'!F6="NG detected",'VITA Index summary'!G6&lt;0.5),"Indeterminate",'VITA Index summary'!G6))</f>
        <v>Indeterminate</v>
      </c>
      <c r="N27" s="57" t="str">
        <f>'VITA Index summary'!I6</f>
        <v>EC VALID</v>
      </c>
      <c r="O27" s="22" t="str" cm="1">
        <f t="array" ref="O27">CONCATENATE(_xlfn.IFS(N27="EC INVALID","Invalid EC, repeat test/re-extract sample",J27="CT not detected","CT not detected",K27="Indeterminate","CT detected, Indeterminate Viability",K27&gt;'VITA Index summary'!$O$8,"CT detected, Viable",K27&lt;0.2,"CT detected, Indeterminate Viability",K27&lt;='VITA Index summary'!$O$8,"CT detected, Non-viable"))</f>
        <v>CT not detected</v>
      </c>
      <c r="P27" s="22" t="str" cm="1">
        <f t="array" ref="P27">CONCATENATE(_xlfn.IFS(N27="EC INVALID","Invalid EC, repeat test/re-extract sample",L27="NG not detected","NG not detected",M27="Indeterminate", "NG detected, Indeterminate Viability", M27&gt;'VITA Index summary'!$O$7,"NG detected, Viable",M27&lt;0.5,"NG detected, Indeterminate Viability",M27&lt;='VITA Index summary'!$O$7,"NG detected, Non-viable"))</f>
        <v>NG detected, Indeterminate Viability</v>
      </c>
    </row>
    <row r="28" spans="2:20" x14ac:dyDescent="0.25">
      <c r="B28" s="21" t="str">
        <f>'VITA Index summary'!A7</f>
        <v>A3</v>
      </c>
      <c r="C28" s="21" t="str">
        <f>'VITA Index summary'!B7</f>
        <v>OM3-001_30 min</v>
      </c>
      <c r="D28" s="55" t="str">
        <f>IFERROR(ROUND('Cq and Delta Cq'!C4,2),"N/A")</f>
        <v>N/A</v>
      </c>
      <c r="E28" s="55" t="str">
        <f>IFERROR(ROUND('Cq and Delta Cq'!D4,2),"N/A")</f>
        <v>N/A</v>
      </c>
      <c r="F28" s="55">
        <f>IFERROR(ROUND('Cq and Delta Cq'!E4,2),"N/A")</f>
        <v>28.07</v>
      </c>
      <c r="G28" s="55">
        <f>IFERROR(ROUND('Cq and Delta Cq'!F4,2),"N/A")</f>
        <v>30.56</v>
      </c>
      <c r="H28" s="55">
        <f>IFERROR(ROUND('Cq and Delta Cq'!G4,2),"N/A")</f>
        <v>33.340000000000003</v>
      </c>
      <c r="J28" s="22" t="str">
        <f>'VITA Index summary'!C7</f>
        <v>CT not detected</v>
      </c>
      <c r="K28" s="56" t="str">
        <f>IF(AND('VITA Index summary'!C7="NG detected",'VITA Index summary'!D7="N/A"),"Indeterminate",IF(AND('VITA Index summary'!C7="NG detected",'VITA Index summary'!D7&lt;0.2),"Indeterminate",'VITA Index summary'!D7))</f>
        <v>N/A</v>
      </c>
      <c r="L28" s="26" t="str">
        <f>'VITA Index summary'!F7</f>
        <v>NG detected</v>
      </c>
      <c r="M28" s="56" t="str">
        <f>IF(AND('VITA Index summary'!F7="NG detected",'VITA Index summary'!G7="N/A"),"Indeterminate",IF(AND('VITA Index summary'!F7="NG detected",'VITA Index summary'!G7&lt;0.5),"Indeterminate",'VITA Index summary'!G7))</f>
        <v>Indeterminate</v>
      </c>
      <c r="N28" s="57" t="str">
        <f>'VITA Index summary'!I7</f>
        <v>EC VALID</v>
      </c>
      <c r="O28" s="22" t="str" cm="1">
        <f t="array" ref="O28">CONCATENATE(_xlfn.IFS(N28="EC INVALID","Invalid EC, repeat test/re-extract sample",J28="CT not detected","CT not detected",K28="Indeterminate","CT detected, Indeterminate Viability",K28&gt;'VITA Index summary'!$O$8,"CT detected, Viable",K28&lt;0.2,"CT detected, Indeterminate Viability",K28&lt;='VITA Index summary'!$O$8,"CT detected, Non-viable"))</f>
        <v>CT not detected</v>
      </c>
      <c r="P28" s="22" t="str" cm="1">
        <f t="array" ref="P28">CONCATENATE(_xlfn.IFS(N28="EC INVALID","Invalid EC, repeat test/re-extract sample",L28="NG not detected","NG not detected",M28="Indeterminate", "NG detected, Indeterminate Viability", M28&gt;'VITA Index summary'!$O$7,"NG detected, Viable",M28&lt;0.5,"NG detected, Indeterminate Viability",M28&lt;='VITA Index summary'!$O$7,"NG detected, Non-viable"))</f>
        <v>NG detected, Indeterminate Viability</v>
      </c>
    </row>
    <row r="29" spans="2:20" x14ac:dyDescent="0.25">
      <c r="B29" s="21" t="str">
        <f>'VITA Index summary'!A8</f>
        <v>A4</v>
      </c>
      <c r="C29" s="21" t="str">
        <f>'VITA Index summary'!B8</f>
        <v>OM3-001_60 min</v>
      </c>
      <c r="D29" s="55" t="str">
        <f>IFERROR(ROUND('Cq and Delta Cq'!C5,2),"N/A")</f>
        <v>N/A</v>
      </c>
      <c r="E29" s="55" t="str">
        <f>IFERROR(ROUND('Cq and Delta Cq'!D5,2),"N/A")</f>
        <v>N/A</v>
      </c>
      <c r="F29" s="55">
        <f>IFERROR(ROUND('Cq and Delta Cq'!E5,2),"N/A")</f>
        <v>26.33</v>
      </c>
      <c r="G29" s="55">
        <f>IFERROR(ROUND('Cq and Delta Cq'!F5,2),"N/A")</f>
        <v>31.51</v>
      </c>
      <c r="H29" s="55">
        <f>IFERROR(ROUND('Cq and Delta Cq'!G5,2),"N/A")</f>
        <v>34.72</v>
      </c>
      <c r="J29" s="22" t="str">
        <f>'VITA Index summary'!C8</f>
        <v>CT not detected</v>
      </c>
      <c r="K29" s="56" t="str">
        <f>IF(AND('VITA Index summary'!C8="NG detected",'VITA Index summary'!D8="N/A"),"Indeterminate",IF(AND('VITA Index summary'!C8="NG detected",'VITA Index summary'!D8&lt;0.2),"Indeterminate",'VITA Index summary'!D8))</f>
        <v>N/A</v>
      </c>
      <c r="L29" s="26" t="str">
        <f>'VITA Index summary'!F8</f>
        <v>NG detected</v>
      </c>
      <c r="M29" s="56" t="str">
        <f>IF(AND('VITA Index summary'!F8="NG detected",'VITA Index summary'!G8="N/A"),"Indeterminate",IF(AND('VITA Index summary'!F8="NG detected",'VITA Index summary'!G8&lt;0.5),"Indeterminate",'VITA Index summary'!G8))</f>
        <v>Indeterminate</v>
      </c>
      <c r="N29" s="57" t="str">
        <f>'VITA Index summary'!I8</f>
        <v>EC VALID</v>
      </c>
      <c r="O29" s="22" t="str" cm="1">
        <f t="array" ref="O29">CONCATENATE(_xlfn.IFS(N29="EC INVALID","Invalid EC, repeat test/re-extract sample",J29="CT not detected","CT not detected",K29="Indeterminate","CT detected, Indeterminate Viability",K29&gt;'VITA Index summary'!$O$8,"CT detected, Viable",K29&lt;0.2,"CT detected, Indeterminate Viability",K29&lt;='VITA Index summary'!$O$8,"CT detected, Non-viable"))</f>
        <v>CT not detected</v>
      </c>
      <c r="P29" s="22" t="str" cm="1">
        <f t="array" ref="P29">CONCATENATE(_xlfn.IFS(N29="EC INVALID","Invalid EC, repeat test/re-extract sample",L29="NG not detected","NG not detected",M29="Indeterminate", "NG detected, Indeterminate Viability", M29&gt;'VITA Index summary'!$O$7,"NG detected, Viable",M29&lt;0.5,"NG detected, Indeterminate Viability",M29&lt;='VITA Index summary'!$O$7,"NG detected, Non-viable"))</f>
        <v>NG detected, Indeterminate Viability</v>
      </c>
    </row>
    <row r="30" spans="2:20" x14ac:dyDescent="0.25">
      <c r="B30" s="21" t="str">
        <f>'VITA Index summary'!A9</f>
        <v>A5</v>
      </c>
      <c r="C30" s="21" t="str">
        <f>'VITA Index summary'!B9</f>
        <v>OM3-001_120 min</v>
      </c>
      <c r="D30" s="55" t="str">
        <f>IFERROR(ROUND('Cq and Delta Cq'!C6,2),"N/A")</f>
        <v>N/A</v>
      </c>
      <c r="E30" s="55" t="str">
        <f>IFERROR(ROUND('Cq and Delta Cq'!D6,2),"N/A")</f>
        <v>N/A</v>
      </c>
      <c r="F30" s="55">
        <f>IFERROR(ROUND('Cq and Delta Cq'!E6,2),"N/A")</f>
        <v>27.05</v>
      </c>
      <c r="G30" s="55">
        <f>IFERROR(ROUND('Cq and Delta Cq'!F6,2),"N/A")</f>
        <v>28.13</v>
      </c>
      <c r="H30" s="55">
        <f>IFERROR(ROUND('Cq and Delta Cq'!G6,2),"N/A")</f>
        <v>31.21</v>
      </c>
      <c r="J30" s="22" t="str">
        <f>'VITA Index summary'!C9</f>
        <v>CT not detected</v>
      </c>
      <c r="K30" s="56" t="str">
        <f>IF(AND('VITA Index summary'!C9="NG detected",'VITA Index summary'!D9="N/A"),"Indeterminate",IF(AND('VITA Index summary'!C9="NG detected",'VITA Index summary'!D9&lt;0.2),"Indeterminate",'VITA Index summary'!D9))</f>
        <v>N/A</v>
      </c>
      <c r="L30" s="26" t="str">
        <f>'VITA Index summary'!F9</f>
        <v>NG detected</v>
      </c>
      <c r="M30" s="56">
        <f>IF(AND('VITA Index summary'!F9="NG detected",'VITA Index summary'!G9="N/A"),"Indeterminate",IF(AND('VITA Index summary'!F9="NG detected",'VITA Index summary'!G9&lt;0.5),"Indeterminate",'VITA Index summary'!G9))</f>
        <v>4.2128057652898132</v>
      </c>
      <c r="N30" s="57" t="str">
        <f>'VITA Index summary'!I9</f>
        <v>EC VALID</v>
      </c>
      <c r="O30" s="22" t="str" cm="1">
        <f t="array" ref="O30">CONCATENATE(_xlfn.IFS(N30="EC INVALID","Invalid EC, repeat test/re-extract sample",J30="CT not detected","CT not detected",K30="Indeterminate","CT detected, Indeterminate Viability",K30&gt;'VITA Index summary'!$O$8,"CT detected, Viable",K30&lt;0.2,"CT detected, Indeterminate Viability",K30&lt;='VITA Index summary'!$O$8,"CT detected, Non-viable"))</f>
        <v>CT not detected</v>
      </c>
      <c r="P30" s="22" t="str" cm="1">
        <f t="array" ref="P30">CONCATENATE(_xlfn.IFS(N30="EC INVALID","Invalid EC, repeat test/re-extract sample",L30="NG not detected","NG not detected",M30="Indeterminate", "NG detected, Indeterminate Viability", M30&gt;'VITA Index summary'!$O$7,"NG detected, Viable",M30&lt;0.5,"NG detected, Indeterminate Viability",M30&lt;='VITA Index summary'!$O$7,"NG detected, Non-viable"))</f>
        <v>NG detected, Viable</v>
      </c>
    </row>
    <row r="31" spans="2:20" x14ac:dyDescent="0.25">
      <c r="B31" s="21" t="str">
        <f>'VITA Index summary'!A10</f>
        <v>A6</v>
      </c>
      <c r="C31" s="21" t="str">
        <f>'VITA Index summary'!B10</f>
        <v>OM3-009_0 min</v>
      </c>
      <c r="D31" s="55" t="str">
        <f>IFERROR(ROUND('Cq and Delta Cq'!C7,2),"N/A")</f>
        <v>N/A</v>
      </c>
      <c r="E31" s="55" t="str">
        <f>IFERROR(ROUND('Cq and Delta Cq'!D7,2),"N/A")</f>
        <v>N/A</v>
      </c>
      <c r="F31" s="55">
        <f>IFERROR(ROUND('Cq and Delta Cq'!E7,2),"N/A")</f>
        <v>23.09</v>
      </c>
      <c r="G31" s="55">
        <f>IFERROR(ROUND('Cq and Delta Cq'!F7,2),"N/A")</f>
        <v>38.619999999999997</v>
      </c>
      <c r="H31" s="55">
        <f>IFERROR(ROUND('Cq and Delta Cq'!G7,2),"N/A")</f>
        <v>36.909999999999997</v>
      </c>
      <c r="J31" s="22" t="str">
        <f>'VITA Index summary'!C10</f>
        <v>CT not detected</v>
      </c>
      <c r="K31" s="56" t="str">
        <f>IF(AND('VITA Index summary'!C10="NG detected",'VITA Index summary'!D10="N/A"),"Indeterminate",IF(AND('VITA Index summary'!C10="NG detected",'VITA Index summary'!D10&lt;0.2),"Indeterminate",'VITA Index summary'!D10))</f>
        <v>N/A</v>
      </c>
      <c r="L31" s="26" t="str">
        <f>'VITA Index summary'!F10</f>
        <v>NG not detected</v>
      </c>
      <c r="M31" s="56" t="str">
        <f>IF(AND('VITA Index summary'!F10="NG detected",'VITA Index summary'!G10="N/A"),"Indeterminate",IF(AND('VITA Index summary'!F10="NG detected",'VITA Index summary'!G10&lt;0.5),"Indeterminate",'VITA Index summary'!G10))</f>
        <v>N/A</v>
      </c>
      <c r="N31" s="57" t="str">
        <f>'VITA Index summary'!I10</f>
        <v>EC VALID</v>
      </c>
      <c r="O31" s="22" t="str" cm="1">
        <f t="array" ref="O31">CONCATENATE(_xlfn.IFS(N31="EC INVALID","Invalid EC, repeat test/re-extract sample",J31="CT not detected","CT not detected",K31="Indeterminate","CT detected, Indeterminate Viability",K31&gt;'VITA Index summary'!$O$8,"CT detected, Viable",K31&lt;0.2,"CT detected, Indeterminate Viability",K31&lt;='VITA Index summary'!$O$8,"CT detected, Non-viable"))</f>
        <v>CT not detected</v>
      </c>
      <c r="P31" s="22" t="str" cm="1">
        <f t="array" ref="P31">CONCATENATE(_xlfn.IFS(N31="EC INVALID","Invalid EC, repeat test/re-extract sample",L31="NG not detected","NG not detected",M31="Indeterminate", "NG detected, Indeterminate Viability", M31&gt;'VITA Index summary'!$O$7,"NG detected, Viable",M31&lt;0.5,"NG detected, Indeterminate Viability",M31&lt;='VITA Index summary'!$O$7,"NG detected, Non-viable"))</f>
        <v>NG not detected</v>
      </c>
    </row>
    <row r="32" spans="2:20" x14ac:dyDescent="0.25">
      <c r="B32" s="21" t="str">
        <f>'VITA Index summary'!A11</f>
        <v>A7</v>
      </c>
      <c r="C32" s="21" t="str">
        <f>'VITA Index summary'!B11</f>
        <v>OM3-009_5 min</v>
      </c>
      <c r="D32" s="55" t="str">
        <f>IFERROR(ROUND('Cq and Delta Cq'!C8,2),"N/A")</f>
        <v>N/A</v>
      </c>
      <c r="E32" s="55" t="str">
        <f>IFERROR(ROUND('Cq and Delta Cq'!D8,2),"N/A")</f>
        <v>N/A</v>
      </c>
      <c r="F32" s="55">
        <f>IFERROR(ROUND('Cq and Delta Cq'!E8,2),"N/A")</f>
        <v>25.28</v>
      </c>
      <c r="G32" s="55">
        <f>IFERROR(ROUND('Cq and Delta Cq'!F8,2),"N/A")</f>
        <v>38.39</v>
      </c>
      <c r="H32" s="55">
        <f>IFERROR(ROUND('Cq and Delta Cq'!G8,2),"N/A")</f>
        <v>40.159999999999997</v>
      </c>
      <c r="J32" s="22" t="str">
        <f>'VITA Index summary'!C11</f>
        <v>CT not detected</v>
      </c>
      <c r="K32" s="56" t="str">
        <f>IF(AND('VITA Index summary'!C11="NG detected",'VITA Index summary'!D11="N/A"),"Indeterminate",IF(AND('VITA Index summary'!C11="NG detected",'VITA Index summary'!D11&lt;0.2),"Indeterminate",'VITA Index summary'!D11))</f>
        <v>N/A</v>
      </c>
      <c r="L32" s="26" t="str">
        <f>'VITA Index summary'!F11</f>
        <v>NG not detected</v>
      </c>
      <c r="M32" s="56" t="str">
        <f>IF(AND('VITA Index summary'!F11="NG detected",'VITA Index summary'!G11="N/A"),"Indeterminate",IF(AND('VITA Index summary'!F11="NG detected",'VITA Index summary'!G11&lt;0.5),"Indeterminate",'VITA Index summary'!G11))</f>
        <v>N/A</v>
      </c>
      <c r="N32" s="57" t="str">
        <f>'VITA Index summary'!I11</f>
        <v>EC VALID</v>
      </c>
      <c r="O32" s="22" t="str" cm="1">
        <f t="array" ref="O32">CONCATENATE(_xlfn.IFS(N32="EC INVALID","Invalid EC, repeat test/re-extract sample",J32="CT not detected","CT not detected",K32="Indeterminate","CT detected, Indeterminate Viability",K32&gt;'VITA Index summary'!$O$8,"CT detected, Viable",K32&lt;0.2,"CT detected, Indeterminate Viability",K32&lt;='VITA Index summary'!$O$8,"CT detected, Non-viable"))</f>
        <v>CT not detected</v>
      </c>
      <c r="P32" s="22" t="str" cm="1">
        <f t="array" ref="P32">CONCATENATE(_xlfn.IFS(N32="EC INVALID","Invalid EC, repeat test/re-extract sample",L32="NG not detected","NG not detected",M32="Indeterminate", "NG detected, Indeterminate Viability", M32&gt;'VITA Index summary'!$O$7,"NG detected, Viable",M32&lt;0.5,"NG detected, Indeterminate Viability",M32&lt;='VITA Index summary'!$O$7,"NG detected, Non-viable"))</f>
        <v>NG not detected</v>
      </c>
    </row>
    <row r="33" spans="2:16" x14ac:dyDescent="0.25">
      <c r="B33" s="21" t="str">
        <f>'VITA Index summary'!A12</f>
        <v>A8</v>
      </c>
      <c r="C33" s="21" t="str">
        <f>'VITA Index summary'!B12</f>
        <v>OM3-009_30 min</v>
      </c>
      <c r="D33" s="55" t="str">
        <f>IFERROR(ROUND('Cq and Delta Cq'!C9,2),"N/A")</f>
        <v>N/A</v>
      </c>
      <c r="E33" s="55" t="str">
        <f>IFERROR(ROUND('Cq and Delta Cq'!D9,2),"N/A")</f>
        <v>N/A</v>
      </c>
      <c r="F33" s="55">
        <f>IFERROR(ROUND('Cq and Delta Cq'!E9,2),"N/A")</f>
        <v>25.03</v>
      </c>
      <c r="G33" s="55">
        <f>IFERROR(ROUND('Cq and Delta Cq'!F9,2),"N/A")</f>
        <v>32.119999999999997</v>
      </c>
      <c r="H33" s="55">
        <f>IFERROR(ROUND('Cq and Delta Cq'!G9,2),"N/A")</f>
        <v>33.28</v>
      </c>
      <c r="J33" s="22" t="str">
        <f>'VITA Index summary'!C12</f>
        <v>CT not detected</v>
      </c>
      <c r="K33" s="56" t="str">
        <f>IF(AND('VITA Index summary'!C12="NG detected",'VITA Index summary'!D12="N/A"),"Indeterminate",IF(AND('VITA Index summary'!C12="NG detected",'VITA Index summary'!D12&lt;0.2),"Indeterminate",'VITA Index summary'!D12))</f>
        <v>N/A</v>
      </c>
      <c r="L33" s="26" t="str">
        <f>'VITA Index summary'!F12</f>
        <v>NG detected</v>
      </c>
      <c r="M33" s="56" t="str">
        <f>IF(AND('VITA Index summary'!F12="NG detected",'VITA Index summary'!G12="N/A"),"Indeterminate",IF(AND('VITA Index summary'!F12="NG detected",'VITA Index summary'!G12&lt;0.5),"Indeterminate",'VITA Index summary'!G12))</f>
        <v>Indeterminate</v>
      </c>
      <c r="N33" s="57" t="str">
        <f>'VITA Index summary'!I12</f>
        <v>EC VALID</v>
      </c>
      <c r="O33" s="22" t="str" cm="1">
        <f t="array" ref="O33">CONCATENATE(_xlfn.IFS(N33="EC INVALID","Invalid EC, repeat test/re-extract sample",J33="CT not detected","CT not detected",K33="Indeterminate","CT detected, Indeterminate Viability",K33&gt;'VITA Index summary'!$O$8,"CT detected, Viable",K33&lt;0.2,"CT detected, Indeterminate Viability",K33&lt;='VITA Index summary'!$O$8,"CT detected, Non-viable"))</f>
        <v>CT not detected</v>
      </c>
      <c r="P33" s="22" t="str" cm="1">
        <f t="array" ref="P33">CONCATENATE(_xlfn.IFS(N33="EC INVALID","Invalid EC, repeat test/re-extract sample",L33="NG not detected","NG not detected",M33="Indeterminate", "NG detected, Indeterminate Viability", M33&gt;'VITA Index summary'!$O$7,"NG detected, Viable",M33&lt;0.5,"NG detected, Indeterminate Viability",M33&lt;='VITA Index summary'!$O$7,"NG detected, Non-viable"))</f>
        <v>NG detected, Indeterminate Viability</v>
      </c>
    </row>
    <row r="34" spans="2:16" x14ac:dyDescent="0.25">
      <c r="B34" s="21" t="str">
        <f>'VITA Index summary'!A13</f>
        <v>A9</v>
      </c>
      <c r="C34" s="21" t="str">
        <f>'VITA Index summary'!B13</f>
        <v>OM3-009_60 min</v>
      </c>
      <c r="D34" s="55" t="str">
        <f>IFERROR(ROUND('Cq and Delta Cq'!C10,2),"N/A")</f>
        <v>N/A</v>
      </c>
      <c r="E34" s="55" t="str">
        <f>IFERROR(ROUND('Cq and Delta Cq'!D10,2),"N/A")</f>
        <v>N/A</v>
      </c>
      <c r="F34" s="55">
        <f>IFERROR(ROUND('Cq and Delta Cq'!E10,2),"N/A")</f>
        <v>24.56</v>
      </c>
      <c r="G34" s="55">
        <f>IFERROR(ROUND('Cq and Delta Cq'!F10,2),"N/A")</f>
        <v>37.31</v>
      </c>
      <c r="H34" s="55">
        <f>IFERROR(ROUND('Cq and Delta Cq'!G10,2),"N/A")</f>
        <v>35.83</v>
      </c>
      <c r="J34" s="22" t="str">
        <f>'VITA Index summary'!C13</f>
        <v>CT not detected</v>
      </c>
      <c r="K34" s="56" t="str">
        <f>IF(AND('VITA Index summary'!C13="NG detected",'VITA Index summary'!D13="N/A"),"Indeterminate",IF(AND('VITA Index summary'!C13="NG detected",'VITA Index summary'!D13&lt;0.2),"Indeterminate",'VITA Index summary'!D13))</f>
        <v>N/A</v>
      </c>
      <c r="L34" s="26" t="str">
        <f>'VITA Index summary'!F13</f>
        <v>NG not detected</v>
      </c>
      <c r="M34" s="56" t="str">
        <f>IF(AND('VITA Index summary'!F13="NG detected",'VITA Index summary'!G13="N/A"),"Indeterminate",IF(AND('VITA Index summary'!F13="NG detected",'VITA Index summary'!G13&lt;0.5),"Indeterminate",'VITA Index summary'!G13))</f>
        <v>N/A</v>
      </c>
      <c r="N34" s="57" t="str">
        <f>'VITA Index summary'!I13</f>
        <v>EC VALID</v>
      </c>
      <c r="O34" s="22" t="str" cm="1">
        <f t="array" ref="O34">CONCATENATE(_xlfn.IFS(N34="EC INVALID","Invalid EC, repeat test/re-extract sample",J34="CT not detected","CT not detected",K34="Indeterminate","CT detected, Indeterminate Viability",K34&gt;'VITA Index summary'!$O$8,"CT detected, Viable",K34&lt;0.2,"CT detected, Indeterminate Viability",K34&lt;='VITA Index summary'!$O$8,"CT detected, Non-viable"))</f>
        <v>CT not detected</v>
      </c>
      <c r="P34" s="22" t="str" cm="1">
        <f t="array" ref="P34">CONCATENATE(_xlfn.IFS(N34="EC INVALID","Invalid EC, repeat test/re-extract sample",L34="NG not detected","NG not detected",M34="Indeterminate", "NG detected, Indeterminate Viability", M34&gt;'VITA Index summary'!$O$7,"NG detected, Viable",M34&lt;0.5,"NG detected, Indeterminate Viability",M34&lt;='VITA Index summary'!$O$7,"NG detected, Non-viable"))</f>
        <v>NG not detected</v>
      </c>
    </row>
    <row r="35" spans="2:16" x14ac:dyDescent="0.25">
      <c r="B35" s="21" t="str">
        <f>'VITA Index summary'!A14</f>
        <v>A10</v>
      </c>
      <c r="C35" s="21" t="str">
        <f>'VITA Index summary'!B14</f>
        <v>OM3-009_120 min</v>
      </c>
      <c r="D35" s="55" t="str">
        <f>IFERROR(ROUND('Cq and Delta Cq'!C11,2),"N/A")</f>
        <v>N/A</v>
      </c>
      <c r="E35" s="55" t="str">
        <f>IFERROR(ROUND('Cq and Delta Cq'!D11,2),"N/A")</f>
        <v>N/A</v>
      </c>
      <c r="F35" s="55">
        <f>IFERROR(ROUND('Cq and Delta Cq'!E11,2),"N/A")</f>
        <v>24.51</v>
      </c>
      <c r="G35" s="55">
        <f>IFERROR(ROUND('Cq and Delta Cq'!F11,2),"N/A")</f>
        <v>29.24</v>
      </c>
      <c r="H35" s="55">
        <f>IFERROR(ROUND('Cq and Delta Cq'!G11,2),"N/A")</f>
        <v>30.97</v>
      </c>
      <c r="J35" s="22" t="str">
        <f>'VITA Index summary'!C14</f>
        <v>CT not detected</v>
      </c>
      <c r="K35" s="56" t="str">
        <f>IF(AND('VITA Index summary'!C14="NG detected",'VITA Index summary'!D14="N/A"),"Indeterminate",IF(AND('VITA Index summary'!C14="NG detected",'VITA Index summary'!D14&lt;0.2),"Indeterminate",'VITA Index summary'!D14))</f>
        <v>N/A</v>
      </c>
      <c r="L35" s="26" t="str">
        <f>'VITA Index summary'!F14</f>
        <v>NG detected</v>
      </c>
      <c r="M35" s="56">
        <f>IF(AND('VITA Index summary'!F14="NG detected",'VITA Index summary'!G14="N/A"),"Indeterminate",IF(AND('VITA Index summary'!F14="NG detected",'VITA Index summary'!G14&lt;0.5),"Indeterminate",'VITA Index summary'!G14))</f>
        <v>1.6620948108831148</v>
      </c>
      <c r="N35" s="57" t="str">
        <f>'VITA Index summary'!I14</f>
        <v>EC VALID</v>
      </c>
      <c r="O35" s="22" t="str" cm="1">
        <f t="array" ref="O35">CONCATENATE(_xlfn.IFS(N35="EC INVALID","Invalid EC, repeat test/re-extract sample",J35="CT not detected","CT not detected",K35="Indeterminate","CT detected, Indeterminate Viability",K35&gt;'VITA Index summary'!$O$8,"CT detected, Viable",K35&lt;0.2,"CT detected, Indeterminate Viability",K35&lt;='VITA Index summary'!$O$8,"CT detected, Non-viable"))</f>
        <v>CT not detected</v>
      </c>
      <c r="P35" s="22" t="str" cm="1">
        <f t="array" ref="P35">CONCATENATE(_xlfn.IFS(N35="EC INVALID","Invalid EC, repeat test/re-extract sample",L35="NG not detected","NG not detected",M35="Indeterminate", "NG detected, Indeterminate Viability", M35&gt;'VITA Index summary'!$O$7,"NG detected, Viable",M35&lt;0.5,"NG detected, Indeterminate Viability",M35&lt;='VITA Index summary'!$O$7,"NG detected, Non-viable"))</f>
        <v>NG detected, Viable</v>
      </c>
    </row>
    <row r="36" spans="2:16" x14ac:dyDescent="0.25">
      <c r="B36" s="21" t="str">
        <f>'VITA Index summary'!A15</f>
        <v>A12</v>
      </c>
      <c r="C36" s="21" t="str">
        <f>'VITA Index summary'!B15</f>
        <v>NEG</v>
      </c>
      <c r="D36" s="55" t="str">
        <f>IFERROR(ROUND('Cq and Delta Cq'!C12,2),"N/A")</f>
        <v>N/A</v>
      </c>
      <c r="E36" s="55" t="str">
        <f>IFERROR(ROUND('Cq and Delta Cq'!D12,2),"N/A")</f>
        <v>N/A</v>
      </c>
      <c r="F36" s="55" t="str">
        <f>IFERROR(ROUND('Cq and Delta Cq'!E12,2),"N/A")</f>
        <v>N/A</v>
      </c>
      <c r="G36" s="55" t="str">
        <f>IFERROR(ROUND('Cq and Delta Cq'!F12,2),"N/A")</f>
        <v>N/A</v>
      </c>
      <c r="H36" s="55" t="str">
        <f>IFERROR(ROUND('Cq and Delta Cq'!G12,2),"N/A")</f>
        <v>N/A</v>
      </c>
      <c r="J36" s="22" t="str">
        <f>'VITA Index summary'!C15</f>
        <v>CT not detected</v>
      </c>
      <c r="K36" s="56" t="str">
        <f>IF(AND('VITA Index summary'!C15="NG detected",'VITA Index summary'!D15="N/A"),"Indeterminate",IF(AND('VITA Index summary'!C15="NG detected",'VITA Index summary'!D15&lt;0.2),"Indeterminate",'VITA Index summary'!D15))</f>
        <v>N/A</v>
      </c>
      <c r="L36" s="26" t="str">
        <f>'VITA Index summary'!F15</f>
        <v>NG not detected</v>
      </c>
      <c r="M36" s="56" t="str">
        <f>IF(AND('VITA Index summary'!F15="NG detected",'VITA Index summary'!G15="N/A"),"Indeterminate",IF(AND('VITA Index summary'!F15="NG detected",'VITA Index summary'!G15&lt;0.5),"Indeterminate",'VITA Index summary'!G15))</f>
        <v>N/A</v>
      </c>
      <c r="N36" s="57" t="str">
        <f>'VITA Index summary'!I15</f>
        <v>EC INVALID</v>
      </c>
      <c r="O36" s="22" t="str" cm="1">
        <f t="array" ref="O36">CONCATENATE(_xlfn.IFS(N36="EC INVALID","Invalid EC, repeat test/re-extract sample",J36="CT not detected","CT not detected",K36="Indeterminate","CT detected, Indeterminate Viability",K36&gt;'VITA Index summary'!$O$8,"CT detected, Viable",K36&lt;0.2,"CT detected, Indeterminate Viability",K36&lt;='VITA Index summary'!$O$8,"CT detected, Non-viable"))</f>
        <v>Invalid EC, repeat test/re-extract sample</v>
      </c>
      <c r="P36" s="22" t="str" cm="1">
        <f t="array" ref="P36">CONCATENATE(_xlfn.IFS(N36="EC INVALID","Invalid EC, repeat test/re-extract sample",L36="NG not detected","NG not detected",M36="Indeterminate", "NG detected, Indeterminate Viability", M36&gt;'VITA Index summary'!$O$7,"NG detected, Viable",M36&lt;0.5,"NG detected, Indeterminate Viability",M36&lt;='VITA Index summary'!$O$7,"NG detected, Non-viable"))</f>
        <v>Invalid EC, repeat test/re-extract sample</v>
      </c>
    </row>
    <row r="37" spans="2:16" x14ac:dyDescent="0.25">
      <c r="B37" s="21" t="str">
        <f>'VITA Index summary'!A16</f>
        <v>B1</v>
      </c>
      <c r="C37" s="21" t="str">
        <f>'VITA Index summary'!B16</f>
        <v>OM3-002_0 min</v>
      </c>
      <c r="D37" s="55" t="str">
        <f>IFERROR(ROUND('Cq and Delta Cq'!C13,2),"N/A")</f>
        <v>N/A</v>
      </c>
      <c r="E37" s="55" t="str">
        <f>IFERROR(ROUND('Cq and Delta Cq'!D13,2),"N/A")</f>
        <v>N/A</v>
      </c>
      <c r="F37" s="55">
        <f>IFERROR(ROUND('Cq and Delta Cq'!E13,2),"N/A")</f>
        <v>23.94</v>
      </c>
      <c r="G37" s="55">
        <f>IFERROR(ROUND('Cq and Delta Cq'!F13,2),"N/A")</f>
        <v>28.73</v>
      </c>
      <c r="H37" s="55">
        <f>IFERROR(ROUND('Cq and Delta Cq'!G13,2),"N/A")</f>
        <v>29.94</v>
      </c>
      <c r="J37" s="22" t="str">
        <f>'VITA Index summary'!C16</f>
        <v>CT not detected</v>
      </c>
      <c r="K37" s="56" t="str">
        <f>IF(AND('VITA Index summary'!C16="NG detected",'VITA Index summary'!D16="N/A"),"Indeterminate",IF(AND('VITA Index summary'!C16="NG detected",'VITA Index summary'!D16&lt;0.2),"Indeterminate",'VITA Index summary'!D16))</f>
        <v>N/A</v>
      </c>
      <c r="L37" s="26" t="str">
        <f>'VITA Index summary'!F16</f>
        <v>NG detected</v>
      </c>
      <c r="M37" s="56">
        <f>IF(AND('VITA Index summary'!F16="NG detected",'VITA Index summary'!G16="N/A"),"Indeterminate",IF(AND('VITA Index summary'!F16="NG detected",'VITA Index summary'!G16&lt;0.5),"Indeterminate",'VITA Index summary'!G16))</f>
        <v>1.1562312618833275</v>
      </c>
      <c r="N37" s="57" t="str">
        <f>'VITA Index summary'!I16</f>
        <v>EC VALID</v>
      </c>
      <c r="O37" s="22" t="str" cm="1">
        <f t="array" ref="O37">CONCATENATE(_xlfn.IFS(N37="EC INVALID","Invalid EC, repeat test/re-extract sample",J37="CT not detected","CT not detected",K37="Indeterminate","CT detected, Indeterminate Viability",K37&gt;'VITA Index summary'!$O$8,"CT detected, Viable",K37&lt;0.2,"CT detected, Indeterminate Viability",K37&lt;='VITA Index summary'!$O$8,"CT detected, Non-viable"))</f>
        <v>CT not detected</v>
      </c>
      <c r="P37" s="22" t="str" cm="1">
        <f t="array" ref="P37">CONCATENATE(_xlfn.IFS(N37="EC INVALID","Invalid EC, repeat test/re-extract sample",L37="NG not detected","NG not detected",M37="Indeterminate", "NG detected, Indeterminate Viability", M37&gt;'VITA Index summary'!$O$7,"NG detected, Viable",M37&lt;0.5,"NG detected, Indeterminate Viability",M37&lt;='VITA Index summary'!$O$7,"NG detected, Non-viable"))</f>
        <v>NG detected, Non-viable</v>
      </c>
    </row>
    <row r="38" spans="2:16" x14ac:dyDescent="0.25">
      <c r="B38" s="21" t="str">
        <f>'VITA Index summary'!A17</f>
        <v>B2</v>
      </c>
      <c r="C38" s="21" t="str">
        <f>'VITA Index summary'!B17</f>
        <v>OM3-002_5 min</v>
      </c>
      <c r="D38" s="55" t="str">
        <f>IFERROR(ROUND('Cq and Delta Cq'!C14,2),"N/A")</f>
        <v>N/A</v>
      </c>
      <c r="E38" s="55" t="str">
        <f>IFERROR(ROUND('Cq and Delta Cq'!D14,2),"N/A")</f>
        <v>N/A</v>
      </c>
      <c r="F38" s="55">
        <f>IFERROR(ROUND('Cq and Delta Cq'!E14,2),"N/A")</f>
        <v>25.7</v>
      </c>
      <c r="G38" s="55">
        <f>IFERROR(ROUND('Cq and Delta Cq'!F14,2),"N/A")</f>
        <v>28.24</v>
      </c>
      <c r="H38" s="55">
        <f>IFERROR(ROUND('Cq and Delta Cq'!G14,2),"N/A")</f>
        <v>30.3</v>
      </c>
      <c r="J38" s="22" t="str">
        <f>'VITA Index summary'!C17</f>
        <v>CT not detected</v>
      </c>
      <c r="K38" s="56" t="str">
        <f>IF(AND('VITA Index summary'!C17="NG detected",'VITA Index summary'!D17="N/A"),"Indeterminate",IF(AND('VITA Index summary'!C17="NG detected",'VITA Index summary'!D17&lt;0.2),"Indeterminate",'VITA Index summary'!D17))</f>
        <v>N/A</v>
      </c>
      <c r="L38" s="26" t="str">
        <f>'VITA Index summary'!F17</f>
        <v>NG detected</v>
      </c>
      <c r="M38" s="56">
        <f>IF(AND('VITA Index summary'!F17="NG detected",'VITA Index summary'!G17="N/A"),"Indeterminate",IF(AND('VITA Index summary'!F17="NG detected",'VITA Index summary'!G17&lt;0.5),"Indeterminate",'VITA Index summary'!G17))</f>
        <v>2.0806875779985741</v>
      </c>
      <c r="N38" s="57" t="str">
        <f>'VITA Index summary'!I17</f>
        <v>EC VALID</v>
      </c>
      <c r="O38" s="22" t="str" cm="1">
        <f t="array" ref="O38">CONCATENATE(_xlfn.IFS(N38="EC INVALID","Invalid EC, repeat test/re-extract sample",J38="CT not detected","CT not detected",K38="Indeterminate","CT detected, Indeterminate Viability",K38&gt;'VITA Index summary'!$O$8,"CT detected, Viable",K38&lt;0.2,"CT detected, Indeterminate Viability",K38&lt;='VITA Index summary'!$O$8,"CT detected, Non-viable"))</f>
        <v>CT not detected</v>
      </c>
      <c r="P38" s="22" t="str" cm="1">
        <f t="array" ref="P38">CONCATENATE(_xlfn.IFS(N38="EC INVALID","Invalid EC, repeat test/re-extract sample",L38="NG not detected","NG not detected",M38="Indeterminate", "NG detected, Indeterminate Viability", M38&gt;'VITA Index summary'!$O$7,"NG detected, Viable",M38&lt;0.5,"NG detected, Indeterminate Viability",M38&lt;='VITA Index summary'!$O$7,"NG detected, Non-viable"))</f>
        <v>NG detected, Viable</v>
      </c>
    </row>
    <row r="39" spans="2:16" x14ac:dyDescent="0.25">
      <c r="B39" s="21" t="str">
        <f>'VITA Index summary'!A18</f>
        <v>B3</v>
      </c>
      <c r="C39" s="21" t="str">
        <f>'VITA Index summary'!B18</f>
        <v>OM3-002_30 min</v>
      </c>
      <c r="D39" s="55" t="str">
        <f>IFERROR(ROUND('Cq and Delta Cq'!C15,2),"N/A")</f>
        <v>N/A</v>
      </c>
      <c r="E39" s="55" t="str">
        <f>IFERROR(ROUND('Cq and Delta Cq'!D15,2),"N/A")</f>
        <v>N/A</v>
      </c>
      <c r="F39" s="55">
        <f>IFERROR(ROUND('Cq and Delta Cq'!E15,2),"N/A")</f>
        <v>24.46</v>
      </c>
      <c r="G39" s="55">
        <f>IFERROR(ROUND('Cq and Delta Cq'!F15,2),"N/A")</f>
        <v>28</v>
      </c>
      <c r="H39" s="55">
        <f>IFERROR(ROUND('Cq and Delta Cq'!G15,2),"N/A")</f>
        <v>30.58</v>
      </c>
      <c r="J39" s="22" t="str">
        <f>'VITA Index summary'!C18</f>
        <v>CT not detected</v>
      </c>
      <c r="K39" s="56" t="str">
        <f>IF(AND('VITA Index summary'!C18="NG detected",'VITA Index summary'!D18="N/A"),"Indeterminate",IF(AND('VITA Index summary'!C18="NG detected",'VITA Index summary'!D18&lt;0.2),"Indeterminate",'VITA Index summary'!D18))</f>
        <v>N/A</v>
      </c>
      <c r="L39" s="26" t="str">
        <f>'VITA Index summary'!F18</f>
        <v>NG detected</v>
      </c>
      <c r="M39" s="56">
        <f>IF(AND('VITA Index summary'!F18="NG detected",'VITA Index summary'!G18="N/A"),"Indeterminate",IF(AND('VITA Index summary'!F18="NG detected",'VITA Index summary'!G18&lt;0.5),"Indeterminate",'VITA Index summary'!G18))</f>
        <v>2.9827336939104847</v>
      </c>
      <c r="N39" s="57" t="str">
        <f>'VITA Index summary'!I18</f>
        <v>EC VALID</v>
      </c>
      <c r="O39" s="22" t="str" cm="1">
        <f t="array" ref="O39">CONCATENATE(_xlfn.IFS(N39="EC INVALID","Invalid EC, repeat test/re-extract sample",J39="CT not detected","CT not detected",K39="Indeterminate","CT detected, Indeterminate Viability",K39&gt;'VITA Index summary'!$O$8,"CT detected, Viable",K39&lt;0.2,"CT detected, Indeterminate Viability",K39&lt;='VITA Index summary'!$O$8,"CT detected, Non-viable"))</f>
        <v>CT not detected</v>
      </c>
      <c r="P39" s="22" t="str" cm="1">
        <f t="array" ref="P39">CONCATENATE(_xlfn.IFS(N39="EC INVALID","Invalid EC, repeat test/re-extract sample",L39="NG not detected","NG not detected",M39="Indeterminate", "NG detected, Indeterminate Viability", M39&gt;'VITA Index summary'!$O$7,"NG detected, Viable",M39&lt;0.5,"NG detected, Indeterminate Viability",M39&lt;='VITA Index summary'!$O$7,"NG detected, Non-viable"))</f>
        <v>NG detected, Viable</v>
      </c>
    </row>
    <row r="40" spans="2:16" x14ac:dyDescent="0.25">
      <c r="B40" s="21" t="str">
        <f>'VITA Index summary'!A19</f>
        <v>B4</v>
      </c>
      <c r="C40" s="21" t="str">
        <f>'VITA Index summary'!B19</f>
        <v>OM3-002_60 min</v>
      </c>
      <c r="D40" s="55" t="str">
        <f>IFERROR(ROUND('Cq and Delta Cq'!C16,2),"N/A")</f>
        <v>N/A</v>
      </c>
      <c r="E40" s="55" t="str">
        <f>IFERROR(ROUND('Cq and Delta Cq'!D16,2),"N/A")</f>
        <v>N/A</v>
      </c>
      <c r="F40" s="55">
        <f>IFERROR(ROUND('Cq and Delta Cq'!E16,2),"N/A")</f>
        <v>24.5</v>
      </c>
      <c r="G40" s="55">
        <f>IFERROR(ROUND('Cq and Delta Cq'!F16,2),"N/A")</f>
        <v>28.06</v>
      </c>
      <c r="H40" s="55">
        <f>IFERROR(ROUND('Cq and Delta Cq'!G16,2),"N/A")</f>
        <v>30.28</v>
      </c>
      <c r="J40" s="22" t="str">
        <f>'VITA Index summary'!C19</f>
        <v>CT not detected</v>
      </c>
      <c r="K40" s="56" t="str">
        <f>IF(AND('VITA Index summary'!C19="NG detected",'VITA Index summary'!D19="N/A"),"Indeterminate",IF(AND('VITA Index summary'!C19="NG detected",'VITA Index summary'!D19&lt;0.2),"Indeterminate",'VITA Index summary'!D19))</f>
        <v>N/A</v>
      </c>
      <c r="L40" s="26" t="str">
        <f>'VITA Index summary'!F19</f>
        <v>NG detected</v>
      </c>
      <c r="M40" s="56">
        <f>IF(AND('VITA Index summary'!F19="NG detected",'VITA Index summary'!G19="N/A"),"Indeterminate",IF(AND('VITA Index summary'!F19="NG detected",'VITA Index summary'!G19&lt;0.5),"Indeterminate",'VITA Index summary'!G19))</f>
        <v>2.3351335937474835</v>
      </c>
      <c r="N40" s="57" t="str">
        <f>'VITA Index summary'!I19</f>
        <v>EC VALID</v>
      </c>
      <c r="O40" s="22" t="str" cm="1">
        <f t="array" ref="O40">CONCATENATE(_xlfn.IFS(N40="EC INVALID","Invalid EC, repeat test/re-extract sample",J40="CT not detected","CT not detected",K40="Indeterminate","CT detected, Indeterminate Viability",K40&gt;'VITA Index summary'!$O$8,"CT detected, Viable",K40&lt;0.2,"CT detected, Indeterminate Viability",K40&lt;='VITA Index summary'!$O$8,"CT detected, Non-viable"))</f>
        <v>CT not detected</v>
      </c>
      <c r="P40" s="22" t="str" cm="1">
        <f t="array" ref="P40">CONCATENATE(_xlfn.IFS(N40="EC INVALID","Invalid EC, repeat test/re-extract sample",L40="NG not detected","NG not detected",M40="Indeterminate", "NG detected, Indeterminate Viability", M40&gt;'VITA Index summary'!$O$7,"NG detected, Viable",M40&lt;0.5,"NG detected, Indeterminate Viability",M40&lt;='VITA Index summary'!$O$7,"NG detected, Non-viable"))</f>
        <v>NG detected, Viable</v>
      </c>
    </row>
    <row r="41" spans="2:16" x14ac:dyDescent="0.25">
      <c r="B41" s="21" t="str">
        <f>'VITA Index summary'!A20</f>
        <v>B5</v>
      </c>
      <c r="C41" s="21" t="str">
        <f>'VITA Index summary'!B20</f>
        <v>OM3-002_120 min</v>
      </c>
      <c r="D41" s="55" t="str">
        <f>IFERROR(ROUND('Cq and Delta Cq'!C17,2),"N/A")</f>
        <v>N/A</v>
      </c>
      <c r="E41" s="55" t="str">
        <f>IFERROR(ROUND('Cq and Delta Cq'!D17,2),"N/A")</f>
        <v>N/A</v>
      </c>
      <c r="F41" s="55">
        <f>IFERROR(ROUND('Cq and Delta Cq'!E17,2),"N/A")</f>
        <v>25.54</v>
      </c>
      <c r="G41" s="55">
        <f>IFERROR(ROUND('Cq and Delta Cq'!F17,2),"N/A")</f>
        <v>28.19</v>
      </c>
      <c r="H41" s="55">
        <f>IFERROR(ROUND('Cq and Delta Cq'!G17,2),"N/A")</f>
        <v>30.73</v>
      </c>
      <c r="J41" s="22" t="str">
        <f>'VITA Index summary'!C20</f>
        <v>CT not detected</v>
      </c>
      <c r="K41" s="56" t="str">
        <f>IF(AND('VITA Index summary'!C20="NG detected",'VITA Index summary'!D20="N/A"),"Indeterminate",IF(AND('VITA Index summary'!C20="NG detected",'VITA Index summary'!D20&lt;0.2),"Indeterminate",'VITA Index summary'!D20))</f>
        <v>N/A</v>
      </c>
      <c r="L41" s="26" t="str">
        <f>'VITA Index summary'!F20</f>
        <v>NG detected</v>
      </c>
      <c r="M41" s="56">
        <f>IF(AND('VITA Index summary'!F20="NG detected",'VITA Index summary'!G20="N/A"),"Indeterminate",IF(AND('VITA Index summary'!F20="NG detected",'VITA Index summary'!G20&lt;0.5),"Indeterminate",'VITA Index summary'!G20))</f>
        <v>2.9164826008325484</v>
      </c>
      <c r="N41" s="57" t="str">
        <f>'VITA Index summary'!I20</f>
        <v>EC VALID</v>
      </c>
      <c r="O41" s="22" t="str" cm="1">
        <f t="array" ref="O41">CONCATENATE(_xlfn.IFS(N41="EC INVALID","Invalid EC, repeat test/re-extract sample",J41="CT not detected","CT not detected",K41="Indeterminate","CT detected, Indeterminate Viability",K41&gt;'VITA Index summary'!$O$8,"CT detected, Viable",K41&lt;0.2,"CT detected, Indeterminate Viability",K41&lt;='VITA Index summary'!$O$8,"CT detected, Non-viable"))</f>
        <v>CT not detected</v>
      </c>
      <c r="P41" s="22" t="str" cm="1">
        <f t="array" ref="P41">CONCATENATE(_xlfn.IFS(N41="EC INVALID","Invalid EC, repeat test/re-extract sample",L41="NG not detected","NG not detected",M41="Indeterminate", "NG detected, Indeterminate Viability", M41&gt;'VITA Index summary'!$O$7,"NG detected, Viable",M41&lt;0.5,"NG detected, Indeterminate Viability",M41&lt;='VITA Index summary'!$O$7,"NG detected, Non-viable"))</f>
        <v>NG detected, Viable</v>
      </c>
    </row>
    <row r="42" spans="2:16" x14ac:dyDescent="0.25">
      <c r="B42" s="21" t="str">
        <f>'VITA Index summary'!A21</f>
        <v>B6</v>
      </c>
      <c r="C42" s="21" t="str">
        <f>'VITA Index summary'!B21</f>
        <v>OM3-010_0 min</v>
      </c>
      <c r="D42" s="55" t="str">
        <f>IFERROR(ROUND('Cq and Delta Cq'!C18,2),"N/A")</f>
        <v>N/A</v>
      </c>
      <c r="E42" s="55" t="str">
        <f>IFERROR(ROUND('Cq and Delta Cq'!D18,2),"N/A")</f>
        <v>N/A</v>
      </c>
      <c r="F42" s="55">
        <f>IFERROR(ROUND('Cq and Delta Cq'!E18,2),"N/A")</f>
        <v>23.1</v>
      </c>
      <c r="G42" s="55">
        <f>IFERROR(ROUND('Cq and Delta Cq'!F18,2),"N/A")</f>
        <v>30.28</v>
      </c>
      <c r="H42" s="55">
        <f>IFERROR(ROUND('Cq and Delta Cq'!G18,2),"N/A")</f>
        <v>34.22</v>
      </c>
      <c r="J42" s="22" t="str">
        <f>'VITA Index summary'!C21</f>
        <v>CT not detected</v>
      </c>
      <c r="K42" s="56" t="str">
        <f>IF(AND('VITA Index summary'!C21="NG detected",'VITA Index summary'!D21="N/A"),"Indeterminate",IF(AND('VITA Index summary'!C21="NG detected",'VITA Index summary'!D21&lt;0.2),"Indeterminate",'VITA Index summary'!D21))</f>
        <v>N/A</v>
      </c>
      <c r="L42" s="26" t="str">
        <f>'VITA Index summary'!F21</f>
        <v>NG detected</v>
      </c>
      <c r="M42" s="56" t="str">
        <f>IF(AND('VITA Index summary'!F21="NG detected",'VITA Index summary'!G21="N/A"),"Indeterminate",IF(AND('VITA Index summary'!F21="NG detected",'VITA Index summary'!G21&lt;0.5),"Indeterminate",'VITA Index summary'!G21))</f>
        <v>Indeterminate</v>
      </c>
      <c r="N42" s="57" t="str">
        <f>'VITA Index summary'!I21</f>
        <v>EC VALID</v>
      </c>
      <c r="O42" s="22" t="str" cm="1">
        <f t="array" ref="O42">CONCATENATE(_xlfn.IFS(N42="EC INVALID","Invalid EC, repeat test/re-extract sample",J42="CT not detected","CT not detected",K42="Indeterminate","CT detected, Indeterminate Viability",K42&gt;'VITA Index summary'!$O$8,"CT detected, Viable",K42&lt;0.2,"CT detected, Indeterminate Viability",K42&lt;='VITA Index summary'!$O$8,"CT detected, Non-viable"))</f>
        <v>CT not detected</v>
      </c>
      <c r="P42" s="22" t="str" cm="1">
        <f t="array" ref="P42">CONCATENATE(_xlfn.IFS(N42="EC INVALID","Invalid EC, repeat test/re-extract sample",L42="NG not detected","NG not detected",M42="Indeterminate", "NG detected, Indeterminate Viability", M42&gt;'VITA Index summary'!$O$7,"NG detected, Viable",M42&lt;0.5,"NG detected, Indeterminate Viability",M42&lt;='VITA Index summary'!$O$7,"NG detected, Non-viable"))</f>
        <v>NG detected, Indeterminate Viability</v>
      </c>
    </row>
    <row r="43" spans="2:16" x14ac:dyDescent="0.25">
      <c r="B43" s="21" t="str">
        <f>'VITA Index summary'!A22</f>
        <v>B7</v>
      </c>
      <c r="C43" s="21" t="str">
        <f>'VITA Index summary'!B22</f>
        <v>OM3-010_5 min</v>
      </c>
      <c r="D43" s="55" t="str">
        <f>IFERROR(ROUND('Cq and Delta Cq'!C19,2),"N/A")</f>
        <v>N/A</v>
      </c>
      <c r="E43" s="55" t="str">
        <f>IFERROR(ROUND('Cq and Delta Cq'!D19,2),"N/A")</f>
        <v>N/A</v>
      </c>
      <c r="F43" s="55">
        <f>IFERROR(ROUND('Cq and Delta Cq'!E19,2),"N/A")</f>
        <v>24.08</v>
      </c>
      <c r="G43" s="55">
        <f>IFERROR(ROUND('Cq and Delta Cq'!F19,2),"N/A")</f>
        <v>31.29</v>
      </c>
      <c r="H43" s="55">
        <f>IFERROR(ROUND('Cq and Delta Cq'!G19,2),"N/A")</f>
        <v>32.93</v>
      </c>
      <c r="J43" s="22" t="str">
        <f>'VITA Index summary'!C22</f>
        <v>CT not detected</v>
      </c>
      <c r="K43" s="56" t="str">
        <f>IF(AND('VITA Index summary'!C22="NG detected",'VITA Index summary'!D22="N/A"),"Indeterminate",IF(AND('VITA Index summary'!C22="NG detected",'VITA Index summary'!D22&lt;0.2),"Indeterminate",'VITA Index summary'!D22))</f>
        <v>N/A</v>
      </c>
      <c r="L43" s="26" t="str">
        <f>'VITA Index summary'!F22</f>
        <v>NG detected</v>
      </c>
      <c r="M43" s="56" t="str">
        <f>IF(AND('VITA Index summary'!F22="NG detected",'VITA Index summary'!G22="N/A"),"Indeterminate",IF(AND('VITA Index summary'!F22="NG detected",'VITA Index summary'!G22&lt;0.5),"Indeterminate",'VITA Index summary'!G22))</f>
        <v>Indeterminate</v>
      </c>
      <c r="N43" s="57" t="str">
        <f>'VITA Index summary'!I22</f>
        <v>EC VALID</v>
      </c>
      <c r="O43" s="22" t="str" cm="1">
        <f t="array" ref="O43">CONCATENATE(_xlfn.IFS(N43="EC INVALID","Invalid EC, repeat test/re-extract sample",J43="CT not detected","CT not detected",K43="Indeterminate","CT detected, Indeterminate Viability",K43&gt;'VITA Index summary'!$O$8,"CT detected, Viable",K43&lt;0.2,"CT detected, Indeterminate Viability",K43&lt;='VITA Index summary'!$O$8,"CT detected, Non-viable"))</f>
        <v>CT not detected</v>
      </c>
      <c r="P43" s="22" t="str" cm="1">
        <f t="array" ref="P43">CONCATENATE(_xlfn.IFS(N43="EC INVALID","Invalid EC, repeat test/re-extract sample",L43="NG not detected","NG not detected",M43="Indeterminate", "NG detected, Indeterminate Viability", M43&gt;'VITA Index summary'!$O$7,"NG detected, Viable",M43&lt;0.5,"NG detected, Indeterminate Viability",M43&lt;='VITA Index summary'!$O$7,"NG detected, Non-viable"))</f>
        <v>NG detected, Indeterminate Viability</v>
      </c>
    </row>
    <row r="44" spans="2:16" x14ac:dyDescent="0.25">
      <c r="B44" s="21" t="str">
        <f>'VITA Index summary'!A23</f>
        <v>B8</v>
      </c>
      <c r="C44" s="21" t="str">
        <f>'VITA Index summary'!B23</f>
        <v>OM3-010_30 min</v>
      </c>
      <c r="D44" s="55" t="str">
        <f>IFERROR(ROUND('Cq and Delta Cq'!C20,2),"N/A")</f>
        <v>N/A</v>
      </c>
      <c r="E44" s="55" t="str">
        <f>IFERROR(ROUND('Cq and Delta Cq'!D20,2),"N/A")</f>
        <v>N/A</v>
      </c>
      <c r="F44" s="55">
        <f>IFERROR(ROUND('Cq and Delta Cq'!E20,2),"N/A")</f>
        <v>24.22</v>
      </c>
      <c r="G44" s="55">
        <f>IFERROR(ROUND('Cq and Delta Cq'!F20,2),"N/A")</f>
        <v>32.56</v>
      </c>
      <c r="H44" s="55">
        <f>IFERROR(ROUND('Cq and Delta Cq'!G20,2),"N/A")</f>
        <v>34.9</v>
      </c>
      <c r="J44" s="22" t="str">
        <f>'VITA Index summary'!C23</f>
        <v>CT not detected</v>
      </c>
      <c r="K44" s="56" t="str">
        <f>IF(AND('VITA Index summary'!C23="NG detected",'VITA Index summary'!D23="N/A"),"Indeterminate",IF(AND('VITA Index summary'!C23="NG detected",'VITA Index summary'!D23&lt;0.2),"Indeterminate",'VITA Index summary'!D23))</f>
        <v>N/A</v>
      </c>
      <c r="L44" s="26" t="str">
        <f>'VITA Index summary'!F23</f>
        <v>NG detected</v>
      </c>
      <c r="M44" s="56" t="str">
        <f>IF(AND('VITA Index summary'!F23="NG detected",'VITA Index summary'!G23="N/A"),"Indeterminate",IF(AND('VITA Index summary'!F23="NG detected",'VITA Index summary'!G23&lt;0.5),"Indeterminate",'VITA Index summary'!G23))</f>
        <v>Indeterminate</v>
      </c>
      <c r="N44" s="57" t="str">
        <f>'VITA Index summary'!I23</f>
        <v>EC VALID</v>
      </c>
      <c r="O44" s="22" t="str" cm="1">
        <f t="array" ref="O44">CONCATENATE(_xlfn.IFS(N44="EC INVALID","Invalid EC, repeat test/re-extract sample",J44="CT not detected","CT not detected",K44="Indeterminate","CT detected, Indeterminate Viability",K44&gt;'VITA Index summary'!$O$8,"CT detected, Viable",K44&lt;0.2,"CT detected, Indeterminate Viability",K44&lt;='VITA Index summary'!$O$8,"CT detected, Non-viable"))</f>
        <v>CT not detected</v>
      </c>
      <c r="P44" s="22" t="str" cm="1">
        <f t="array" ref="P44">CONCATENATE(_xlfn.IFS(N44="EC INVALID","Invalid EC, repeat test/re-extract sample",L44="NG not detected","NG not detected",M44="Indeterminate", "NG detected, Indeterminate Viability", M44&gt;'VITA Index summary'!$O$7,"NG detected, Viable",M44&lt;0.5,"NG detected, Indeterminate Viability",M44&lt;='VITA Index summary'!$O$7,"NG detected, Non-viable"))</f>
        <v>NG detected, Indeterminate Viability</v>
      </c>
    </row>
    <row r="45" spans="2:16" x14ac:dyDescent="0.25">
      <c r="B45" s="21" t="str">
        <f>'VITA Index summary'!A24</f>
        <v>B9</v>
      </c>
      <c r="C45" s="21" t="str">
        <f>'VITA Index summary'!B24</f>
        <v>OM3-010_60 min</v>
      </c>
      <c r="D45" s="55" t="str">
        <f>IFERROR(ROUND('Cq and Delta Cq'!C21,2),"N/A")</f>
        <v>N/A</v>
      </c>
      <c r="E45" s="55" t="str">
        <f>IFERROR(ROUND('Cq and Delta Cq'!D21,2),"N/A")</f>
        <v>N/A</v>
      </c>
      <c r="F45" s="55">
        <f>IFERROR(ROUND('Cq and Delta Cq'!E21,2),"N/A")</f>
        <v>22.68</v>
      </c>
      <c r="G45" s="55">
        <f>IFERROR(ROUND('Cq and Delta Cq'!F21,2),"N/A")</f>
        <v>29.42</v>
      </c>
      <c r="H45" s="55">
        <f>IFERROR(ROUND('Cq and Delta Cq'!G21,2),"N/A")</f>
        <v>31.29</v>
      </c>
      <c r="J45" s="22" t="str">
        <f>'VITA Index summary'!C24</f>
        <v>CT not detected</v>
      </c>
      <c r="K45" s="56" t="str">
        <f>IF(AND('VITA Index summary'!C24="NG detected",'VITA Index summary'!D24="N/A"),"Indeterminate",IF(AND('VITA Index summary'!C24="NG detected",'VITA Index summary'!D24&lt;0.2),"Indeterminate",'VITA Index summary'!D24))</f>
        <v>N/A</v>
      </c>
      <c r="L45" s="26" t="str">
        <f>'VITA Index summary'!F24</f>
        <v>NG detected</v>
      </c>
      <c r="M45" s="56">
        <f>IF(AND('VITA Index summary'!F24="NG detected",'VITA Index summary'!G24="N/A"),"Indeterminate",IF(AND('VITA Index summary'!F24="NG detected",'VITA Index summary'!G24&lt;0.5),"Indeterminate",'VITA Index summary'!G24))</f>
        <v>1.8355258746828782</v>
      </c>
      <c r="N45" s="57" t="str">
        <f>'VITA Index summary'!I24</f>
        <v>EC VALID</v>
      </c>
      <c r="O45" s="22" t="str" cm="1">
        <f t="array" ref="O45">CONCATENATE(_xlfn.IFS(N45="EC INVALID","Invalid EC, repeat test/re-extract sample",J45="CT not detected","CT not detected",K45="Indeterminate","CT detected, Indeterminate Viability",K45&gt;'VITA Index summary'!$O$8,"CT detected, Viable",K45&lt;0.2,"CT detected, Indeterminate Viability",K45&lt;='VITA Index summary'!$O$8,"CT detected, Non-viable"))</f>
        <v>CT not detected</v>
      </c>
      <c r="P45" s="22" t="str" cm="1">
        <f t="array" ref="P45">CONCATENATE(_xlfn.IFS(N45="EC INVALID","Invalid EC, repeat test/re-extract sample",L45="NG not detected","NG not detected",M45="Indeterminate", "NG detected, Indeterminate Viability", M45&gt;'VITA Index summary'!$O$7,"NG detected, Viable",M45&lt;0.5,"NG detected, Indeterminate Viability",M45&lt;='VITA Index summary'!$O$7,"NG detected, Non-viable"))</f>
        <v>NG detected, Viable</v>
      </c>
    </row>
    <row r="46" spans="2:16" x14ac:dyDescent="0.25">
      <c r="B46" s="21" t="str">
        <f>'VITA Index summary'!A25</f>
        <v>B10</v>
      </c>
      <c r="C46" s="21" t="str">
        <f>'VITA Index summary'!B25</f>
        <v>OM3-010_120 min</v>
      </c>
      <c r="D46" s="55" t="str">
        <f>IFERROR(ROUND('Cq and Delta Cq'!C22,2),"N/A")</f>
        <v>N/A</v>
      </c>
      <c r="E46" s="55" t="str">
        <f>IFERROR(ROUND('Cq and Delta Cq'!D22,2),"N/A")</f>
        <v>N/A</v>
      </c>
      <c r="F46" s="55">
        <f>IFERROR(ROUND('Cq and Delta Cq'!E22,2),"N/A")</f>
        <v>23.34</v>
      </c>
      <c r="G46" s="55">
        <f>IFERROR(ROUND('Cq and Delta Cq'!F22,2),"N/A")</f>
        <v>31.03</v>
      </c>
      <c r="H46" s="55">
        <f>IFERROR(ROUND('Cq and Delta Cq'!G22,2),"N/A")</f>
        <v>32.729999999999997</v>
      </c>
      <c r="J46" s="22" t="str">
        <f>'VITA Index summary'!C25</f>
        <v>CT not detected</v>
      </c>
      <c r="K46" s="56" t="str">
        <f>IF(AND('VITA Index summary'!C25="NG detected",'VITA Index summary'!D25="N/A"),"Indeterminate",IF(AND('VITA Index summary'!C25="NG detected",'VITA Index summary'!D25&lt;0.2),"Indeterminate",'VITA Index summary'!D25))</f>
        <v>N/A</v>
      </c>
      <c r="L46" s="26" t="str">
        <f>'VITA Index summary'!F25</f>
        <v>NG detected</v>
      </c>
      <c r="M46" s="56" t="str">
        <f>IF(AND('VITA Index summary'!F25="NG detected",'VITA Index summary'!G25="N/A"),"Indeterminate",IF(AND('VITA Index summary'!F25="NG detected",'VITA Index summary'!G25&lt;0.5),"Indeterminate",'VITA Index summary'!G25))</f>
        <v>Indeterminate</v>
      </c>
      <c r="N46" s="57" t="str">
        <f>'VITA Index summary'!I25</f>
        <v>EC VALID</v>
      </c>
      <c r="O46" s="22" t="str" cm="1">
        <f t="array" ref="O46">CONCATENATE(_xlfn.IFS(N46="EC INVALID","Invalid EC, repeat test/re-extract sample",J46="CT not detected","CT not detected",K46="Indeterminate","CT detected, Indeterminate Viability",K46&gt;'VITA Index summary'!$O$8,"CT detected, Viable",K46&lt;0.2,"CT detected, Indeterminate Viability",K46&lt;='VITA Index summary'!$O$8,"CT detected, Non-viable"))</f>
        <v>CT not detected</v>
      </c>
      <c r="P46" s="22" t="str" cm="1">
        <f t="array" ref="P46">CONCATENATE(_xlfn.IFS(N46="EC INVALID","Invalid EC, repeat test/re-extract sample",L46="NG not detected","NG not detected",M46="Indeterminate", "NG detected, Indeterminate Viability", M46&gt;'VITA Index summary'!$O$7,"NG detected, Viable",M46&lt;0.5,"NG detected, Indeterminate Viability",M46&lt;='VITA Index summary'!$O$7,"NG detected, Non-viable"))</f>
        <v>NG detected, Indeterminate Viability</v>
      </c>
    </row>
    <row r="47" spans="2:16" x14ac:dyDescent="0.25">
      <c r="B47" s="21" t="str">
        <f>'VITA Index summary'!A26</f>
        <v>B12</v>
      </c>
      <c r="C47" s="21" t="str">
        <f>'VITA Index summary'!B26</f>
        <v>NTC</v>
      </c>
      <c r="D47" s="55" t="str">
        <f>IFERROR(ROUND('Cq and Delta Cq'!C23,2),"N/A")</f>
        <v>N/A</v>
      </c>
      <c r="E47" s="55" t="str">
        <f>IFERROR(ROUND('Cq and Delta Cq'!D23,2),"N/A")</f>
        <v>N/A</v>
      </c>
      <c r="F47" s="55" t="str">
        <f>IFERROR(ROUND('Cq and Delta Cq'!E23,2),"N/A")</f>
        <v>N/A</v>
      </c>
      <c r="G47" s="55" t="str">
        <f>IFERROR(ROUND('Cq and Delta Cq'!F23,2),"N/A")</f>
        <v>N/A</v>
      </c>
      <c r="H47" s="55" t="str">
        <f>IFERROR(ROUND('Cq and Delta Cq'!G23,2),"N/A")</f>
        <v>N/A</v>
      </c>
      <c r="J47" s="22" t="str">
        <f>'VITA Index summary'!C26</f>
        <v>CT not detected</v>
      </c>
      <c r="K47" s="56" t="str">
        <f>IF(AND('VITA Index summary'!C26="NG detected",'VITA Index summary'!D26="N/A"),"Indeterminate",IF(AND('VITA Index summary'!C26="NG detected",'VITA Index summary'!D26&lt;0.2),"Indeterminate",'VITA Index summary'!D26))</f>
        <v>N/A</v>
      </c>
      <c r="L47" s="26" t="str">
        <f>'VITA Index summary'!F26</f>
        <v>NG not detected</v>
      </c>
      <c r="M47" s="56" t="str">
        <f>IF(AND('VITA Index summary'!F26="NG detected",'VITA Index summary'!G26="N/A"),"Indeterminate",IF(AND('VITA Index summary'!F26="NG detected",'VITA Index summary'!G26&lt;0.5),"Indeterminate",'VITA Index summary'!G26))</f>
        <v>N/A</v>
      </c>
      <c r="N47" s="57" t="str">
        <f>'VITA Index summary'!I26</f>
        <v>EC INVALID</v>
      </c>
      <c r="O47" s="22" t="str" cm="1">
        <f t="array" ref="O47">CONCATENATE(_xlfn.IFS(N47="EC INVALID","Invalid EC, repeat test/re-extract sample",J47="CT not detected","CT not detected",K47="Indeterminate","CT detected, Indeterminate Viability",K47&gt;'VITA Index summary'!$O$8,"CT detected, Viable",K47&lt;0.2,"CT detected, Indeterminate Viability",K47&lt;='VITA Index summary'!$O$8,"CT detected, Non-viable"))</f>
        <v>Invalid EC, repeat test/re-extract sample</v>
      </c>
      <c r="P47" s="22" t="str" cm="1">
        <f t="array" ref="P47">CONCATENATE(_xlfn.IFS(N47="EC INVALID","Invalid EC, repeat test/re-extract sample",L47="NG not detected","NG not detected",M47="Indeterminate", "NG detected, Indeterminate Viability", M47&gt;'VITA Index summary'!$O$7,"NG detected, Viable",M47&lt;0.5,"NG detected, Indeterminate Viability",M47&lt;='VITA Index summary'!$O$7,"NG detected, Non-viable"))</f>
        <v>Invalid EC, repeat test/re-extract sample</v>
      </c>
    </row>
    <row r="48" spans="2:16" x14ac:dyDescent="0.25">
      <c r="B48" s="21" t="str">
        <f>'VITA Index summary'!A27</f>
        <v>C1</v>
      </c>
      <c r="C48" s="21" t="str">
        <f>'VITA Index summary'!B27</f>
        <v>OM3-003_0 min</v>
      </c>
      <c r="D48" s="55" t="str">
        <f>IFERROR(ROUND('Cq and Delta Cq'!C24,2),"N/A")</f>
        <v>N/A</v>
      </c>
      <c r="E48" s="55" t="str">
        <f>IFERROR(ROUND('Cq and Delta Cq'!D24,2),"N/A")</f>
        <v>N/A</v>
      </c>
      <c r="F48" s="55">
        <f>IFERROR(ROUND('Cq and Delta Cq'!E24,2),"N/A")</f>
        <v>26.62</v>
      </c>
      <c r="G48" s="55">
        <f>IFERROR(ROUND('Cq and Delta Cq'!F24,2),"N/A")</f>
        <v>35.5</v>
      </c>
      <c r="H48" s="55" t="str">
        <f>IFERROR(ROUND('Cq and Delta Cq'!G24,2),"N/A")</f>
        <v>N/A</v>
      </c>
      <c r="J48" s="22" t="str">
        <f>'VITA Index summary'!C27</f>
        <v>CT not detected</v>
      </c>
      <c r="K48" s="56" t="str">
        <f>IF(AND('VITA Index summary'!C27="NG detected",'VITA Index summary'!D27="N/A"),"Indeterminate",IF(AND('VITA Index summary'!C27="NG detected",'VITA Index summary'!D27&lt;0.2),"Indeterminate",'VITA Index summary'!D27))</f>
        <v>N/A</v>
      </c>
      <c r="L48" s="26" t="str">
        <f>'VITA Index summary'!F27</f>
        <v>NG not detected</v>
      </c>
      <c r="M48" s="56" t="str">
        <f>IF(AND('VITA Index summary'!F27="NG detected",'VITA Index summary'!G27="N/A"),"Indeterminate",IF(AND('VITA Index summary'!F27="NG detected",'VITA Index summary'!G27&lt;0.5),"Indeterminate",'VITA Index summary'!G27))</f>
        <v>N/A</v>
      </c>
      <c r="N48" s="57" t="str">
        <f>'VITA Index summary'!I27</f>
        <v>EC VALID</v>
      </c>
      <c r="O48" s="22" t="str" cm="1">
        <f t="array" ref="O48">CONCATENATE(_xlfn.IFS(N48="EC INVALID","Invalid EC, repeat test/re-extract sample",J48="CT not detected","CT not detected",K48="Indeterminate","CT detected, Indeterminate Viability",K48&gt;'VITA Index summary'!$O$8,"CT detected, Viable",K48&lt;0.2,"CT detected, Indeterminate Viability",K48&lt;='VITA Index summary'!$O$8,"CT detected, Non-viable"))</f>
        <v>CT not detected</v>
      </c>
      <c r="P48" s="22" t="str" cm="1">
        <f t="array" ref="P48">CONCATENATE(_xlfn.IFS(N48="EC INVALID","Invalid EC, repeat test/re-extract sample",L48="NG not detected","NG not detected",M48="Indeterminate", "NG detected, Indeterminate Viability", M48&gt;'VITA Index summary'!$O$7,"NG detected, Viable",M48&lt;0.5,"NG detected, Indeterminate Viability",M48&lt;='VITA Index summary'!$O$7,"NG detected, Non-viable"))</f>
        <v>NG not detected</v>
      </c>
    </row>
    <row r="49" spans="2:16" x14ac:dyDescent="0.25">
      <c r="B49" s="21" t="str">
        <f>'VITA Index summary'!A28</f>
        <v>C2</v>
      </c>
      <c r="C49" s="21" t="str">
        <f>'VITA Index summary'!B28</f>
        <v>OM3-003_5 min</v>
      </c>
      <c r="D49" s="55" t="str">
        <f>IFERROR(ROUND('Cq and Delta Cq'!C25,2),"N/A")</f>
        <v>N/A</v>
      </c>
      <c r="E49" s="55" t="str">
        <f>IFERROR(ROUND('Cq and Delta Cq'!D25,2),"N/A")</f>
        <v>N/A</v>
      </c>
      <c r="F49" s="55">
        <f>IFERROR(ROUND('Cq and Delta Cq'!E25,2),"N/A")</f>
        <v>26.96</v>
      </c>
      <c r="G49" s="55">
        <f>IFERROR(ROUND('Cq and Delta Cq'!F25,2),"N/A")</f>
        <v>35.14</v>
      </c>
      <c r="H49" s="55">
        <f>IFERROR(ROUND('Cq and Delta Cq'!G25,2),"N/A")</f>
        <v>40.67</v>
      </c>
      <c r="J49" s="22" t="str">
        <f>'VITA Index summary'!C28</f>
        <v>CT not detected</v>
      </c>
      <c r="K49" s="56" t="str">
        <f>IF(AND('VITA Index summary'!C28="NG detected",'VITA Index summary'!D28="N/A"),"Indeterminate",IF(AND('VITA Index summary'!C28="NG detected",'VITA Index summary'!D28&lt;0.2),"Indeterminate",'VITA Index summary'!D28))</f>
        <v>N/A</v>
      </c>
      <c r="L49" s="26" t="str">
        <f>'VITA Index summary'!F28</f>
        <v>NG not detected</v>
      </c>
      <c r="M49" s="56" t="str">
        <f>IF(AND('VITA Index summary'!F28="NG detected",'VITA Index summary'!G28="N/A"),"Indeterminate",IF(AND('VITA Index summary'!F28="NG detected",'VITA Index summary'!G28&lt;0.5),"Indeterminate",'VITA Index summary'!G28))</f>
        <v>N/A</v>
      </c>
      <c r="N49" s="57" t="str">
        <f>'VITA Index summary'!I28</f>
        <v>EC VALID</v>
      </c>
      <c r="O49" s="22" t="str" cm="1">
        <f t="array" ref="O49">CONCATENATE(_xlfn.IFS(N49="EC INVALID","Invalid EC, repeat test/re-extract sample",J49="CT not detected","CT not detected",K49="Indeterminate","CT detected, Indeterminate Viability",K49&gt;'VITA Index summary'!$O$8,"CT detected, Viable",K49&lt;0.2,"CT detected, Indeterminate Viability",K49&lt;='VITA Index summary'!$O$8,"CT detected, Non-viable"))</f>
        <v>CT not detected</v>
      </c>
      <c r="P49" s="22" t="str" cm="1">
        <f t="array" ref="P49">CONCATENATE(_xlfn.IFS(N49="EC INVALID","Invalid EC, repeat test/re-extract sample",L49="NG not detected","NG not detected",M49="Indeterminate", "NG detected, Indeterminate Viability", M49&gt;'VITA Index summary'!$O$7,"NG detected, Viable",M49&lt;0.5,"NG detected, Indeterminate Viability",M49&lt;='VITA Index summary'!$O$7,"NG detected, Non-viable"))</f>
        <v>NG not detected</v>
      </c>
    </row>
    <row r="50" spans="2:16" x14ac:dyDescent="0.25">
      <c r="B50" s="21" t="str">
        <f>'VITA Index summary'!A29</f>
        <v>C3</v>
      </c>
      <c r="C50" s="21" t="str">
        <f>'VITA Index summary'!B29</f>
        <v>OM3-003_30 min</v>
      </c>
      <c r="D50" s="55" t="str">
        <f>IFERROR(ROUND('Cq and Delta Cq'!C26,2),"N/A")</f>
        <v>N/A</v>
      </c>
      <c r="E50" s="55" t="str">
        <f>IFERROR(ROUND('Cq and Delta Cq'!D26,2),"N/A")</f>
        <v>N/A</v>
      </c>
      <c r="F50" s="55">
        <f>IFERROR(ROUND('Cq and Delta Cq'!E26,2),"N/A")</f>
        <v>25.94</v>
      </c>
      <c r="G50" s="55">
        <f>IFERROR(ROUND('Cq and Delta Cq'!F26,2),"N/A")</f>
        <v>29.95</v>
      </c>
      <c r="H50" s="55">
        <f>IFERROR(ROUND('Cq and Delta Cq'!G26,2),"N/A")</f>
        <v>33.119999999999997</v>
      </c>
      <c r="J50" s="22" t="str">
        <f>'VITA Index summary'!C29</f>
        <v>CT not detected</v>
      </c>
      <c r="K50" s="56" t="str">
        <f>IF(AND('VITA Index summary'!C29="NG detected",'VITA Index summary'!D29="N/A"),"Indeterminate",IF(AND('VITA Index summary'!C29="NG detected",'VITA Index summary'!D29&lt;0.2),"Indeterminate",'VITA Index summary'!D29))</f>
        <v>N/A</v>
      </c>
      <c r="L50" s="26" t="str">
        <f>'VITA Index summary'!F29</f>
        <v>NG detected</v>
      </c>
      <c r="M50" s="56" t="str">
        <f>IF(AND('VITA Index summary'!F29="NG detected",'VITA Index summary'!G29="N/A"),"Indeterminate",IF(AND('VITA Index summary'!F29="NG detected",'VITA Index summary'!G29&lt;0.5),"Indeterminate",'VITA Index summary'!G29))</f>
        <v>Indeterminate</v>
      </c>
      <c r="N50" s="57" t="str">
        <f>'VITA Index summary'!I29</f>
        <v>EC VALID</v>
      </c>
      <c r="O50" s="22" t="str" cm="1">
        <f t="array" ref="O50">CONCATENATE(_xlfn.IFS(N50="EC INVALID","Invalid EC, repeat test/re-extract sample",J50="CT not detected","CT not detected",K50="Indeterminate","CT detected, Indeterminate Viability",K50&gt;'VITA Index summary'!$O$8,"CT detected, Viable",K50&lt;0.2,"CT detected, Indeterminate Viability",K50&lt;='VITA Index summary'!$O$8,"CT detected, Non-viable"))</f>
        <v>CT not detected</v>
      </c>
      <c r="P50" s="22" t="str" cm="1">
        <f t="array" ref="P50">CONCATENATE(_xlfn.IFS(N50="EC INVALID","Invalid EC, repeat test/re-extract sample",L50="NG not detected","NG not detected",M50="Indeterminate", "NG detected, Indeterminate Viability", M50&gt;'VITA Index summary'!$O$7,"NG detected, Viable",M50&lt;0.5,"NG detected, Indeterminate Viability",M50&lt;='VITA Index summary'!$O$7,"NG detected, Non-viable"))</f>
        <v>NG detected, Indeterminate Viability</v>
      </c>
    </row>
    <row r="51" spans="2:16" x14ac:dyDescent="0.25">
      <c r="B51" s="21" t="str">
        <f>'VITA Index summary'!A30</f>
        <v>C4</v>
      </c>
      <c r="C51" s="21" t="str">
        <f>'VITA Index summary'!B30</f>
        <v>OM3-003_60 min</v>
      </c>
      <c r="D51" s="55" t="str">
        <f>IFERROR(ROUND('Cq and Delta Cq'!C27,2),"N/A")</f>
        <v>N/A</v>
      </c>
      <c r="E51" s="55" t="str">
        <f>IFERROR(ROUND('Cq and Delta Cq'!D27,2),"N/A")</f>
        <v>N/A</v>
      </c>
      <c r="F51" s="55">
        <f>IFERROR(ROUND('Cq and Delta Cq'!E27,2),"N/A")</f>
        <v>25.64</v>
      </c>
      <c r="G51" s="55">
        <f>IFERROR(ROUND('Cq and Delta Cq'!F27,2),"N/A")</f>
        <v>32.869999999999997</v>
      </c>
      <c r="H51" s="55">
        <f>IFERROR(ROUND('Cq and Delta Cq'!G27,2),"N/A")</f>
        <v>40.03</v>
      </c>
      <c r="J51" s="22" t="str">
        <f>'VITA Index summary'!C30</f>
        <v>CT not detected</v>
      </c>
      <c r="K51" s="56" t="str">
        <f>IF(AND('VITA Index summary'!C30="NG detected",'VITA Index summary'!D30="N/A"),"Indeterminate",IF(AND('VITA Index summary'!C30="NG detected",'VITA Index summary'!D30&lt;0.2),"Indeterminate",'VITA Index summary'!D30))</f>
        <v>N/A</v>
      </c>
      <c r="L51" s="26" t="str">
        <f>'VITA Index summary'!F30</f>
        <v>NG detected</v>
      </c>
      <c r="M51" s="56" t="str">
        <f>IF(AND('VITA Index summary'!F30="NG detected",'VITA Index summary'!G30="N/A"),"Indeterminate",IF(AND('VITA Index summary'!F30="NG detected",'VITA Index summary'!G30&lt;0.5),"Indeterminate",'VITA Index summary'!G30))</f>
        <v>Indeterminate</v>
      </c>
      <c r="N51" s="57" t="str">
        <f>'VITA Index summary'!I30</f>
        <v>EC VALID</v>
      </c>
      <c r="O51" s="22" t="str" cm="1">
        <f t="array" ref="O51">CONCATENATE(_xlfn.IFS(N51="EC INVALID","Invalid EC, repeat test/re-extract sample",J51="CT not detected","CT not detected",K51="Indeterminate","CT detected, Indeterminate Viability",K51&gt;'VITA Index summary'!$O$8,"CT detected, Viable",K51&lt;0.2,"CT detected, Indeterminate Viability",K51&lt;='VITA Index summary'!$O$8,"CT detected, Non-viable"))</f>
        <v>CT not detected</v>
      </c>
      <c r="P51" s="22" t="str" cm="1">
        <f t="array" ref="P51">CONCATENATE(_xlfn.IFS(N51="EC INVALID","Invalid EC, repeat test/re-extract sample",L51="NG not detected","NG not detected",M51="Indeterminate", "NG detected, Indeterminate Viability", M51&gt;'VITA Index summary'!$O$7,"NG detected, Viable",M51&lt;0.5,"NG detected, Indeterminate Viability",M51&lt;='VITA Index summary'!$O$7,"NG detected, Non-viable"))</f>
        <v>NG detected, Indeterminate Viability</v>
      </c>
    </row>
    <row r="52" spans="2:16" x14ac:dyDescent="0.25">
      <c r="B52" s="21" t="str">
        <f>'VITA Index summary'!A31</f>
        <v>C5</v>
      </c>
      <c r="C52" s="21" t="str">
        <f>'VITA Index summary'!B31</f>
        <v>OM3-003_120 min</v>
      </c>
      <c r="D52" s="55" t="str">
        <f>IFERROR(ROUND('Cq and Delta Cq'!C28,2),"N/A")</f>
        <v>N/A</v>
      </c>
      <c r="E52" s="55" t="str">
        <f>IFERROR(ROUND('Cq and Delta Cq'!D28,2),"N/A")</f>
        <v>N/A</v>
      </c>
      <c r="F52" s="55">
        <f>IFERROR(ROUND('Cq and Delta Cq'!E28,2),"N/A")</f>
        <v>25.44</v>
      </c>
      <c r="G52" s="55">
        <f>IFERROR(ROUND('Cq and Delta Cq'!F28,2),"N/A")</f>
        <v>34.18</v>
      </c>
      <c r="H52" s="55">
        <f>IFERROR(ROUND('Cq and Delta Cq'!G28,2),"N/A")</f>
        <v>38.69</v>
      </c>
      <c r="J52" s="22" t="str">
        <f>'VITA Index summary'!C31</f>
        <v>CT not detected</v>
      </c>
      <c r="K52" s="56" t="str">
        <f>IF(AND('VITA Index summary'!C31="NG detected",'VITA Index summary'!D31="N/A"),"Indeterminate",IF(AND('VITA Index summary'!C31="NG detected",'VITA Index summary'!D31&lt;0.2),"Indeterminate",'VITA Index summary'!D31))</f>
        <v>N/A</v>
      </c>
      <c r="L52" s="26" t="str">
        <f>'VITA Index summary'!F31</f>
        <v>NG detected</v>
      </c>
      <c r="M52" s="56" t="str">
        <f>IF(AND('VITA Index summary'!F31="NG detected",'VITA Index summary'!G31="N/A"),"Indeterminate",IF(AND('VITA Index summary'!F31="NG detected",'VITA Index summary'!G31&lt;0.5),"Indeterminate",'VITA Index summary'!G31))</f>
        <v>Indeterminate</v>
      </c>
      <c r="N52" s="57" t="str">
        <f>'VITA Index summary'!I31</f>
        <v>EC VALID</v>
      </c>
      <c r="O52" s="22" t="str" cm="1">
        <f t="array" ref="O52">CONCATENATE(_xlfn.IFS(N52="EC INVALID","Invalid EC, repeat test/re-extract sample",J52="CT not detected","CT not detected",K52="Indeterminate","CT detected, Indeterminate Viability",K52&gt;'VITA Index summary'!$O$8,"CT detected, Viable",K52&lt;0.2,"CT detected, Indeterminate Viability",K52&lt;='VITA Index summary'!$O$8,"CT detected, Non-viable"))</f>
        <v>CT not detected</v>
      </c>
      <c r="P52" s="22" t="str" cm="1">
        <f t="array" ref="P52">CONCATENATE(_xlfn.IFS(N52="EC INVALID","Invalid EC, repeat test/re-extract sample",L52="NG not detected","NG not detected",M52="Indeterminate", "NG detected, Indeterminate Viability", M52&gt;'VITA Index summary'!$O$7,"NG detected, Viable",M52&lt;0.5,"NG detected, Indeterminate Viability",M52&lt;='VITA Index summary'!$O$7,"NG detected, Non-viable"))</f>
        <v>NG detected, Indeterminate Viability</v>
      </c>
    </row>
    <row r="53" spans="2:16" x14ac:dyDescent="0.25">
      <c r="B53" s="21" t="str">
        <f>'VITA Index summary'!A32</f>
        <v>C6</v>
      </c>
      <c r="C53" s="21" t="str">
        <f>'VITA Index summary'!B32</f>
        <v>OM3-011_0 min</v>
      </c>
      <c r="D53" s="55" t="str">
        <f>IFERROR(ROUND('Cq and Delta Cq'!C29,2),"N/A")</f>
        <v>N/A</v>
      </c>
      <c r="E53" s="55" t="str">
        <f>IFERROR(ROUND('Cq and Delta Cq'!D29,2),"N/A")</f>
        <v>N/A</v>
      </c>
      <c r="F53" s="55">
        <f>IFERROR(ROUND('Cq and Delta Cq'!E29,2),"N/A")</f>
        <v>24.24</v>
      </c>
      <c r="G53" s="55">
        <f>IFERROR(ROUND('Cq and Delta Cq'!F29,2),"N/A")</f>
        <v>25.67</v>
      </c>
      <c r="H53" s="55">
        <f>IFERROR(ROUND('Cq and Delta Cq'!G29,2),"N/A")</f>
        <v>28.98</v>
      </c>
      <c r="J53" s="22" t="str">
        <f>'VITA Index summary'!C32</f>
        <v>CT not detected</v>
      </c>
      <c r="K53" s="56" t="str">
        <f>IF(AND('VITA Index summary'!C32="NG detected",'VITA Index summary'!D32="N/A"),"Indeterminate",IF(AND('VITA Index summary'!C32="NG detected",'VITA Index summary'!D32&lt;0.2),"Indeterminate",'VITA Index summary'!D32))</f>
        <v>N/A</v>
      </c>
      <c r="L53" s="26" t="str">
        <f>'VITA Index summary'!F32</f>
        <v>NG detected</v>
      </c>
      <c r="M53" s="56">
        <f>IF(AND('VITA Index summary'!F32="NG detected",'VITA Index summary'!G32="N/A"),"Indeterminate",IF(AND('VITA Index summary'!F32="NG detected",'VITA Index summary'!G32&lt;0.5),"Indeterminate",'VITA Index summary'!G32))</f>
        <v>4.9508608068472864</v>
      </c>
      <c r="N53" s="57" t="str">
        <f>'VITA Index summary'!I32</f>
        <v>EC VALID</v>
      </c>
      <c r="O53" s="22" t="str" cm="1">
        <f t="array" ref="O53">CONCATENATE(_xlfn.IFS(N53="EC INVALID","Invalid EC, repeat test/re-extract sample",J53="CT not detected","CT not detected",K53="Indeterminate","CT detected, Indeterminate Viability",K53&gt;'VITA Index summary'!$O$8,"CT detected, Viable",K53&lt;0.2,"CT detected, Indeterminate Viability",K53&lt;='VITA Index summary'!$O$8,"CT detected, Non-viable"))</f>
        <v>CT not detected</v>
      </c>
      <c r="P53" s="22" t="str" cm="1">
        <f t="array" ref="P53">CONCATENATE(_xlfn.IFS(N53="EC INVALID","Invalid EC, repeat test/re-extract sample",L53="NG not detected","NG not detected",M53="Indeterminate", "NG detected, Indeterminate Viability", M53&gt;'VITA Index summary'!$O$7,"NG detected, Viable",M53&lt;0.5,"NG detected, Indeterminate Viability",M53&lt;='VITA Index summary'!$O$7,"NG detected, Non-viable"))</f>
        <v>NG detected, Viable</v>
      </c>
    </row>
    <row r="54" spans="2:16" x14ac:dyDescent="0.25">
      <c r="B54" s="21" t="str">
        <f>'VITA Index summary'!A33</f>
        <v>C7</v>
      </c>
      <c r="C54" s="21" t="str">
        <f>'VITA Index summary'!B33</f>
        <v>OM3-011_5 min</v>
      </c>
      <c r="D54" s="55" t="str">
        <f>IFERROR(ROUND('Cq and Delta Cq'!C30,2),"N/A")</f>
        <v>N/A</v>
      </c>
      <c r="E54" s="55" t="str">
        <f>IFERROR(ROUND('Cq and Delta Cq'!D30,2),"N/A")</f>
        <v>N/A</v>
      </c>
      <c r="F54" s="55">
        <f>IFERROR(ROUND('Cq and Delta Cq'!E30,2),"N/A")</f>
        <v>26.95</v>
      </c>
      <c r="G54" s="55">
        <f>IFERROR(ROUND('Cq and Delta Cq'!F30,2),"N/A")</f>
        <v>28.77</v>
      </c>
      <c r="H54" s="55">
        <f>IFERROR(ROUND('Cq and Delta Cq'!G30,2),"N/A")</f>
        <v>30.93</v>
      </c>
      <c r="J54" s="22" t="str">
        <f>'VITA Index summary'!C33</f>
        <v>CT not detected</v>
      </c>
      <c r="K54" s="56" t="str">
        <f>IF(AND('VITA Index summary'!C33="NG detected",'VITA Index summary'!D33="N/A"),"Indeterminate",IF(AND('VITA Index summary'!C33="NG detected",'VITA Index summary'!D33&lt;0.2),"Indeterminate",'VITA Index summary'!D33))</f>
        <v>N/A</v>
      </c>
      <c r="L54" s="26" t="str">
        <f>'VITA Index summary'!F33</f>
        <v>NG detected</v>
      </c>
      <c r="M54" s="56">
        <f>IF(AND('VITA Index summary'!F33="NG detected",'VITA Index summary'!G33="N/A"),"Indeterminate",IF(AND('VITA Index summary'!F33="NG detected",'VITA Index summary'!G33&lt;0.5),"Indeterminate",'VITA Index summary'!G33))</f>
        <v>2.2368529147512652</v>
      </c>
      <c r="N54" s="57" t="str">
        <f>'VITA Index summary'!I33</f>
        <v>EC VALID</v>
      </c>
      <c r="O54" s="22" t="str" cm="1">
        <f t="array" ref="O54">CONCATENATE(_xlfn.IFS(N54="EC INVALID","Invalid EC, repeat test/re-extract sample",J54="CT not detected","CT not detected",K54="Indeterminate","CT detected, Indeterminate Viability",K54&gt;'VITA Index summary'!$O$8,"CT detected, Viable",K54&lt;0.2,"CT detected, Indeterminate Viability",K54&lt;='VITA Index summary'!$O$8,"CT detected, Non-viable"))</f>
        <v>CT not detected</v>
      </c>
      <c r="P54" s="22" t="str" cm="1">
        <f t="array" ref="P54">CONCATENATE(_xlfn.IFS(N54="EC INVALID","Invalid EC, repeat test/re-extract sample",L54="NG not detected","NG not detected",M54="Indeterminate", "NG detected, Indeterminate Viability", M54&gt;'VITA Index summary'!$O$7,"NG detected, Viable",M54&lt;0.5,"NG detected, Indeterminate Viability",M54&lt;='VITA Index summary'!$O$7,"NG detected, Non-viable"))</f>
        <v>NG detected, Viable</v>
      </c>
    </row>
    <row r="55" spans="2:16" x14ac:dyDescent="0.25">
      <c r="B55" s="21" t="str">
        <f>'VITA Index summary'!A34</f>
        <v>C8</v>
      </c>
      <c r="C55" s="21" t="str">
        <f>'VITA Index summary'!B34</f>
        <v>OM3-011_30 min</v>
      </c>
      <c r="D55" s="55" t="str">
        <f>IFERROR(ROUND('Cq and Delta Cq'!C31,2),"N/A")</f>
        <v>N/A</v>
      </c>
      <c r="E55" s="55" t="str">
        <f>IFERROR(ROUND('Cq and Delta Cq'!D31,2),"N/A")</f>
        <v>N/A</v>
      </c>
      <c r="F55" s="55">
        <f>IFERROR(ROUND('Cq and Delta Cq'!E31,2),"N/A")</f>
        <v>25.4</v>
      </c>
      <c r="G55" s="55">
        <f>IFERROR(ROUND('Cq and Delta Cq'!F31,2),"N/A")</f>
        <v>27.95</v>
      </c>
      <c r="H55" s="55">
        <f>IFERROR(ROUND('Cq and Delta Cq'!G31,2),"N/A")</f>
        <v>31.33</v>
      </c>
      <c r="J55" s="22" t="str">
        <f>'VITA Index summary'!C34</f>
        <v>CT not detected</v>
      </c>
      <c r="K55" s="56" t="str">
        <f>IF(AND('VITA Index summary'!C34="NG detected",'VITA Index summary'!D34="N/A"),"Indeterminate",IF(AND('VITA Index summary'!C34="NG detected",'VITA Index summary'!D34&lt;0.2),"Indeterminate",'VITA Index summary'!D34))</f>
        <v>N/A</v>
      </c>
      <c r="L55" s="26" t="str">
        <f>'VITA Index summary'!F34</f>
        <v>NG detected</v>
      </c>
      <c r="M55" s="56">
        <f>IF(AND('VITA Index summary'!F34="NG detected",'VITA Index summary'!G34="N/A"),"Indeterminate",IF(AND('VITA Index summary'!F34="NG detected",'VITA Index summary'!G34&lt;0.5),"Indeterminate",'VITA Index summary'!G34))</f>
        <v>5.2048198890520672</v>
      </c>
      <c r="N55" s="57" t="str">
        <f>'VITA Index summary'!I34</f>
        <v>EC VALID</v>
      </c>
      <c r="O55" s="22" t="str" cm="1">
        <f t="array" ref="O55">CONCATENATE(_xlfn.IFS(N55="EC INVALID","Invalid EC, repeat test/re-extract sample",J55="CT not detected","CT not detected",K55="Indeterminate","CT detected, Indeterminate Viability",K55&gt;'VITA Index summary'!$O$8,"CT detected, Viable",K55&lt;0.2,"CT detected, Indeterminate Viability",K55&lt;='VITA Index summary'!$O$8,"CT detected, Non-viable"))</f>
        <v>CT not detected</v>
      </c>
      <c r="P55" s="22" t="str" cm="1">
        <f t="array" ref="P55">CONCATENATE(_xlfn.IFS(N55="EC INVALID","Invalid EC, repeat test/re-extract sample",L55="NG not detected","NG not detected",M55="Indeterminate", "NG detected, Indeterminate Viability", M55&gt;'VITA Index summary'!$O$7,"NG detected, Viable",M55&lt;0.5,"NG detected, Indeterminate Viability",M55&lt;='VITA Index summary'!$O$7,"NG detected, Non-viable"))</f>
        <v>NG detected, Viable</v>
      </c>
    </row>
    <row r="56" spans="2:16" x14ac:dyDescent="0.25">
      <c r="B56" s="21" t="str">
        <f>'VITA Index summary'!A35</f>
        <v>C9</v>
      </c>
      <c r="C56" s="21" t="str">
        <f>'VITA Index summary'!B35</f>
        <v>OM3-011_60 min</v>
      </c>
      <c r="D56" s="55" t="str">
        <f>IFERROR(ROUND('Cq and Delta Cq'!C32,2),"N/A")</f>
        <v>N/A</v>
      </c>
      <c r="E56" s="55" t="str">
        <f>IFERROR(ROUND('Cq and Delta Cq'!D32,2),"N/A")</f>
        <v>N/A</v>
      </c>
      <c r="F56" s="55">
        <f>IFERROR(ROUND('Cq and Delta Cq'!E32,2),"N/A")</f>
        <v>27.24</v>
      </c>
      <c r="G56" s="55">
        <f>IFERROR(ROUND('Cq and Delta Cq'!F32,2),"N/A")</f>
        <v>31.01</v>
      </c>
      <c r="H56" s="55">
        <f>IFERROR(ROUND('Cq and Delta Cq'!G32,2),"N/A")</f>
        <v>33.22</v>
      </c>
      <c r="J56" s="22" t="str">
        <f>'VITA Index summary'!C35</f>
        <v>CT not detected</v>
      </c>
      <c r="K56" s="56" t="str">
        <f>IF(AND('VITA Index summary'!C35="NG detected",'VITA Index summary'!D35="N/A"),"Indeterminate",IF(AND('VITA Index summary'!C35="NG detected",'VITA Index summary'!D35&lt;0.2),"Indeterminate",'VITA Index summary'!D35))</f>
        <v>N/A</v>
      </c>
      <c r="L56" s="26" t="str">
        <f>'VITA Index summary'!F35</f>
        <v>NG detected</v>
      </c>
      <c r="M56" s="56" t="str">
        <f>IF(AND('VITA Index summary'!F35="NG detected",'VITA Index summary'!G35="N/A"),"Indeterminate",IF(AND('VITA Index summary'!F35="NG detected",'VITA Index summary'!G35&lt;0.5),"Indeterminate",'VITA Index summary'!G35))</f>
        <v>Indeterminate</v>
      </c>
      <c r="N56" s="57" t="str">
        <f>'VITA Index summary'!I35</f>
        <v>EC VALID</v>
      </c>
      <c r="O56" s="22" t="str" cm="1">
        <f t="array" ref="O56">CONCATENATE(_xlfn.IFS(N56="EC INVALID","Invalid EC, repeat test/re-extract sample",J56="CT not detected","CT not detected",K56="Indeterminate","CT detected, Indeterminate Viability",K56&gt;'VITA Index summary'!$O$8,"CT detected, Viable",K56&lt;0.2,"CT detected, Indeterminate Viability",K56&lt;='VITA Index summary'!$O$8,"CT detected, Non-viable"))</f>
        <v>CT not detected</v>
      </c>
      <c r="P56" s="22" t="str" cm="1">
        <f t="array" ref="P56">CONCATENATE(_xlfn.IFS(N56="EC INVALID","Invalid EC, repeat test/re-extract sample",L56="NG not detected","NG not detected",M56="Indeterminate", "NG detected, Indeterminate Viability", M56&gt;'VITA Index summary'!$O$7,"NG detected, Viable",M56&lt;0.5,"NG detected, Indeterminate Viability",M56&lt;='VITA Index summary'!$O$7,"NG detected, Non-viable"))</f>
        <v>NG detected, Indeterminate Viability</v>
      </c>
    </row>
    <row r="57" spans="2:16" x14ac:dyDescent="0.25">
      <c r="B57" s="21" t="str">
        <f>'VITA Index summary'!A36</f>
        <v>C10</v>
      </c>
      <c r="C57" s="21" t="str">
        <f>'VITA Index summary'!B36</f>
        <v>OM3-011_120 min</v>
      </c>
      <c r="D57" s="55" t="str">
        <f>IFERROR(ROUND('Cq and Delta Cq'!C33,2),"N/A")</f>
        <v>N/A</v>
      </c>
      <c r="E57" s="55" t="str">
        <f>IFERROR(ROUND('Cq and Delta Cq'!D33,2),"N/A")</f>
        <v>N/A</v>
      </c>
      <c r="F57" s="55">
        <f>IFERROR(ROUND('Cq and Delta Cq'!E33,2),"N/A")</f>
        <v>26.65</v>
      </c>
      <c r="G57" s="55">
        <f>IFERROR(ROUND('Cq and Delta Cq'!F33,2),"N/A")</f>
        <v>33.94</v>
      </c>
      <c r="H57" s="55" t="str">
        <f>IFERROR(ROUND('Cq and Delta Cq'!G33,2),"N/A")</f>
        <v>N/A</v>
      </c>
      <c r="J57" s="22" t="str">
        <f>'VITA Index summary'!C36</f>
        <v>CT not detected</v>
      </c>
      <c r="K57" s="56" t="str">
        <f>IF(AND('VITA Index summary'!C36="NG detected",'VITA Index summary'!D36="N/A"),"Indeterminate",IF(AND('VITA Index summary'!C36="NG detected",'VITA Index summary'!D36&lt;0.2),"Indeterminate",'VITA Index summary'!D36))</f>
        <v>N/A</v>
      </c>
      <c r="L57" s="26" t="str">
        <f>'VITA Index summary'!F36</f>
        <v>NG detected</v>
      </c>
      <c r="M57" s="56" t="str">
        <f>IF(AND('VITA Index summary'!F36="NG detected",'VITA Index summary'!G36="N/A"),"Indeterminate",IF(AND('VITA Index summary'!F36="NG detected",'VITA Index summary'!G36&lt;0.5),"Indeterminate",'VITA Index summary'!G36))</f>
        <v>Indeterminate</v>
      </c>
      <c r="N57" s="57" t="str">
        <f>'VITA Index summary'!I36</f>
        <v>EC VALID</v>
      </c>
      <c r="O57" s="22" t="str" cm="1">
        <f t="array" ref="O57">CONCATENATE(_xlfn.IFS(N57="EC INVALID","Invalid EC, repeat test/re-extract sample",J57="CT not detected","CT not detected",K57="Indeterminate","CT detected, Indeterminate Viability",K57&gt;'VITA Index summary'!$O$8,"CT detected, Viable",K57&lt;0.2,"CT detected, Indeterminate Viability",K57&lt;='VITA Index summary'!$O$8,"CT detected, Non-viable"))</f>
        <v>CT not detected</v>
      </c>
      <c r="P57" s="22" t="str" cm="1">
        <f t="array" ref="P57">CONCATENATE(_xlfn.IFS(N57="EC INVALID","Invalid EC, repeat test/re-extract sample",L57="NG not detected","NG not detected",M57="Indeterminate", "NG detected, Indeterminate Viability", M57&gt;'VITA Index summary'!$O$7,"NG detected, Viable",M57&lt;0.5,"NG detected, Indeterminate Viability",M57&lt;='VITA Index summary'!$O$7,"NG detected, Non-viable"))</f>
        <v>NG detected, Indeterminate Viability</v>
      </c>
    </row>
    <row r="58" spans="2:16" x14ac:dyDescent="0.25">
      <c r="B58" s="21" t="str">
        <f>'VITA Index summary'!A37</f>
        <v>C12</v>
      </c>
      <c r="C58" s="21" t="str">
        <f>'VITA Index summary'!B37</f>
        <v>CT/NG gblock</v>
      </c>
      <c r="D58" s="55">
        <f>IFERROR(ROUND('Cq and Delta Cq'!C34,2),"N/A")</f>
        <v>27.76</v>
      </c>
      <c r="E58" s="55">
        <f>IFERROR(ROUND('Cq and Delta Cq'!D34,2),"N/A")</f>
        <v>28.65</v>
      </c>
      <c r="F58" s="55" t="str">
        <f>IFERROR(ROUND('Cq and Delta Cq'!E34,2),"N/A")</f>
        <v>N/A</v>
      </c>
      <c r="G58" s="55">
        <f>IFERROR(ROUND('Cq and Delta Cq'!F34,2),"N/A")</f>
        <v>27.41</v>
      </c>
      <c r="H58" s="55">
        <f>IFERROR(ROUND('Cq and Delta Cq'!G34,2),"N/A")</f>
        <v>28.6</v>
      </c>
      <c r="J58" s="22" t="str">
        <f>'VITA Index summary'!C37</f>
        <v>CT detected</v>
      </c>
      <c r="K58" s="56">
        <f>IF(AND('VITA Index summary'!C37="NG detected",'VITA Index summary'!D37="N/A"),"Indeterminate",IF(AND('VITA Index summary'!C37="NG detected",'VITA Index summary'!D37&lt;0.2),"Indeterminate",'VITA Index summary'!D37))</f>
        <v>0.92995031755730517</v>
      </c>
      <c r="L58" s="26" t="str">
        <f>'VITA Index summary'!F37</f>
        <v>NG detected</v>
      </c>
      <c r="M58" s="56">
        <f>IF(AND('VITA Index summary'!F37="NG detected",'VITA Index summary'!G37="N/A"),"Indeterminate",IF(AND('VITA Index summary'!F37="NG detected",'VITA Index summary'!G37&lt;0.5),"Indeterminate",'VITA Index summary'!G37))</f>
        <v>1.1419370724189322</v>
      </c>
      <c r="N58" s="57" t="str">
        <f>'VITA Index summary'!I37</f>
        <v>EC INVALID</v>
      </c>
      <c r="O58" s="22" t="str" cm="1">
        <f t="array" ref="O58">CONCATENATE(_xlfn.IFS(N58="EC INVALID","Invalid EC, repeat test/re-extract sample",J58="CT not detected","CT not detected",K58="Indeterminate","CT detected, Indeterminate Viability",K58&gt;'VITA Index summary'!$O$8,"CT detected, Viable",K58&lt;0.2,"CT detected, Indeterminate Viability",K58&lt;='VITA Index summary'!$O$8,"CT detected, Non-viable"))</f>
        <v>Invalid EC, repeat test/re-extract sample</v>
      </c>
      <c r="P58" s="22" t="str" cm="1">
        <f t="array" ref="P58">CONCATENATE(_xlfn.IFS(N58="EC INVALID","Invalid EC, repeat test/re-extract sample",L58="NG not detected","NG not detected",M58="Indeterminate", "NG detected, Indeterminate Viability", M58&gt;'VITA Index summary'!$O$7,"NG detected, Viable",M58&lt;0.5,"NG detected, Indeterminate Viability",M58&lt;='VITA Index summary'!$O$7,"NG detected, Non-viable"))</f>
        <v>Invalid EC, repeat test/re-extract sample</v>
      </c>
    </row>
    <row r="59" spans="2:16" x14ac:dyDescent="0.25">
      <c r="B59" s="21" t="str">
        <f>'VITA Index summary'!A38</f>
        <v>D1</v>
      </c>
      <c r="C59" s="21" t="str">
        <f>'VITA Index summary'!B38</f>
        <v>OM3-004_0 min</v>
      </c>
      <c r="D59" s="55" t="str">
        <f>IFERROR(ROUND('Cq and Delta Cq'!C35,2),"N/A")</f>
        <v>N/A</v>
      </c>
      <c r="E59" s="55" t="str">
        <f>IFERROR(ROUND('Cq and Delta Cq'!D35,2),"N/A")</f>
        <v>N/A</v>
      </c>
      <c r="F59" s="55">
        <f>IFERROR(ROUND('Cq and Delta Cq'!E35,2),"N/A")</f>
        <v>25.73</v>
      </c>
      <c r="G59" s="55">
        <f>IFERROR(ROUND('Cq and Delta Cq'!F35,2),"N/A")</f>
        <v>27.84</v>
      </c>
      <c r="H59" s="55">
        <f>IFERROR(ROUND('Cq and Delta Cq'!G35,2),"N/A")</f>
        <v>29.75</v>
      </c>
      <c r="J59" s="22" t="str">
        <f>'VITA Index summary'!C38</f>
        <v>CT not detected</v>
      </c>
      <c r="K59" s="56" t="str">
        <f>IF(AND('VITA Index summary'!C38="NG detected",'VITA Index summary'!D38="N/A"),"Indeterminate",IF(AND('VITA Index summary'!C38="NG detected",'VITA Index summary'!D38&lt;0.2),"Indeterminate",'VITA Index summary'!D38))</f>
        <v>N/A</v>
      </c>
      <c r="L59" s="26" t="str">
        <f>'VITA Index summary'!F38</f>
        <v>NG detected</v>
      </c>
      <c r="M59" s="56">
        <f>IF(AND('VITA Index summary'!F38="NG detected",'VITA Index summary'!G38="N/A"),"Indeterminate",IF(AND('VITA Index summary'!F38="NG detected",'VITA Index summary'!G38&lt;0.5),"Indeterminate",'VITA Index summary'!G38))</f>
        <v>1.8791942482762134</v>
      </c>
      <c r="N59" s="57" t="str">
        <f>'VITA Index summary'!I38</f>
        <v>EC VALID</v>
      </c>
      <c r="O59" s="22" t="str" cm="1">
        <f t="array" ref="O59">CONCATENATE(_xlfn.IFS(N59="EC INVALID","Invalid EC, repeat test/re-extract sample",J59="CT not detected","CT not detected",K59="Indeterminate","CT detected, Indeterminate Viability",K59&gt;'VITA Index summary'!$O$8,"CT detected, Viable",K59&lt;0.2,"CT detected, Indeterminate Viability",K59&lt;='VITA Index summary'!$O$8,"CT detected, Non-viable"))</f>
        <v>CT not detected</v>
      </c>
      <c r="P59" s="22" t="str" cm="1">
        <f t="array" ref="P59">CONCATENATE(_xlfn.IFS(N59="EC INVALID","Invalid EC, repeat test/re-extract sample",L59="NG not detected","NG not detected",M59="Indeterminate", "NG detected, Indeterminate Viability", M59&gt;'VITA Index summary'!$O$7,"NG detected, Viable",M59&lt;0.5,"NG detected, Indeterminate Viability",M59&lt;='VITA Index summary'!$O$7,"NG detected, Non-viable"))</f>
        <v>NG detected, Viable</v>
      </c>
    </row>
    <row r="60" spans="2:16" x14ac:dyDescent="0.25">
      <c r="B60" s="21" t="str">
        <f>'VITA Index summary'!A39</f>
        <v>D2</v>
      </c>
      <c r="C60" s="21" t="str">
        <f>'VITA Index summary'!B39</f>
        <v>OM3-004_5 min</v>
      </c>
      <c r="D60" s="55" t="str">
        <f>IFERROR(ROUND('Cq and Delta Cq'!C36,2),"N/A")</f>
        <v>N/A</v>
      </c>
      <c r="E60" s="55" t="str">
        <f>IFERROR(ROUND('Cq and Delta Cq'!D36,2),"N/A")</f>
        <v>N/A</v>
      </c>
      <c r="F60" s="55">
        <f>IFERROR(ROUND('Cq and Delta Cq'!E36,2),"N/A")</f>
        <v>26</v>
      </c>
      <c r="G60" s="55">
        <f>IFERROR(ROUND('Cq and Delta Cq'!F36,2),"N/A")</f>
        <v>28.45</v>
      </c>
      <c r="H60" s="55">
        <f>IFERROR(ROUND('Cq and Delta Cq'!G36,2),"N/A")</f>
        <v>30.93</v>
      </c>
      <c r="J60" s="22" t="str">
        <f>'VITA Index summary'!C39</f>
        <v>CT not detected</v>
      </c>
      <c r="K60" s="56" t="str">
        <f>IF(AND('VITA Index summary'!C39="NG detected",'VITA Index summary'!D39="N/A"),"Indeterminate",IF(AND('VITA Index summary'!C39="NG detected",'VITA Index summary'!D39&lt;0.2),"Indeterminate",'VITA Index summary'!D39))</f>
        <v>N/A</v>
      </c>
      <c r="L60" s="26" t="str">
        <f>'VITA Index summary'!F39</f>
        <v>NG detected</v>
      </c>
      <c r="M60" s="56">
        <f>IF(AND('VITA Index summary'!F39="NG detected",'VITA Index summary'!G39="N/A"),"Indeterminate",IF(AND('VITA Index summary'!F39="NG detected",'VITA Index summary'!G39&lt;0.5),"Indeterminate",'VITA Index summary'!G39))</f>
        <v>2.7737398824718542</v>
      </c>
      <c r="N60" s="57" t="str">
        <f>'VITA Index summary'!I39</f>
        <v>EC VALID</v>
      </c>
      <c r="O60" s="22" t="str" cm="1">
        <f t="array" ref="O60">CONCATENATE(_xlfn.IFS(N60="EC INVALID","Invalid EC, repeat test/re-extract sample",J60="CT not detected","CT not detected",K60="Indeterminate","CT detected, Indeterminate Viability",K60&gt;'VITA Index summary'!$O$8,"CT detected, Viable",K60&lt;0.2,"CT detected, Indeterminate Viability",K60&lt;='VITA Index summary'!$O$8,"CT detected, Non-viable"))</f>
        <v>CT not detected</v>
      </c>
      <c r="P60" s="22" t="str" cm="1">
        <f t="array" ref="P60">CONCATENATE(_xlfn.IFS(N60="EC INVALID","Invalid EC, repeat test/re-extract sample",L60="NG not detected","NG not detected",M60="Indeterminate", "NG detected, Indeterminate Viability", M60&gt;'VITA Index summary'!$O$7,"NG detected, Viable",M60&lt;0.5,"NG detected, Indeterminate Viability",M60&lt;='VITA Index summary'!$O$7,"NG detected, Non-viable"))</f>
        <v>NG detected, Viable</v>
      </c>
    </row>
    <row r="61" spans="2:16" x14ac:dyDescent="0.25">
      <c r="B61" s="21" t="str">
        <f>'VITA Index summary'!A40</f>
        <v>D3</v>
      </c>
      <c r="C61" s="21" t="str">
        <f>'VITA Index summary'!B40</f>
        <v>OM3-004_30 min</v>
      </c>
      <c r="D61" s="55" t="str">
        <f>IFERROR(ROUND('Cq and Delta Cq'!C37,2),"N/A")</f>
        <v>N/A</v>
      </c>
      <c r="E61" s="55" t="str">
        <f>IFERROR(ROUND('Cq and Delta Cq'!D37,2),"N/A")</f>
        <v>N/A</v>
      </c>
      <c r="F61" s="55">
        <f>IFERROR(ROUND('Cq and Delta Cq'!E37,2),"N/A")</f>
        <v>25.12</v>
      </c>
      <c r="G61" s="55">
        <f>IFERROR(ROUND('Cq and Delta Cq'!F37,2),"N/A")</f>
        <v>28.7</v>
      </c>
      <c r="H61" s="55">
        <f>IFERROR(ROUND('Cq and Delta Cq'!G37,2),"N/A")</f>
        <v>31.1</v>
      </c>
      <c r="J61" s="22" t="str">
        <f>'VITA Index summary'!C40</f>
        <v>CT not detected</v>
      </c>
      <c r="K61" s="56" t="str">
        <f>IF(AND('VITA Index summary'!C40="NG detected",'VITA Index summary'!D40="N/A"),"Indeterminate",IF(AND('VITA Index summary'!C40="NG detected",'VITA Index summary'!D40&lt;0.2),"Indeterminate",'VITA Index summary'!D40))</f>
        <v>N/A</v>
      </c>
      <c r="L61" s="26" t="str">
        <f>'VITA Index summary'!F40</f>
        <v>NG detected</v>
      </c>
      <c r="M61" s="56">
        <f>IF(AND('VITA Index summary'!F40="NG detected",'VITA Index summary'!G40="N/A"),"Indeterminate",IF(AND('VITA Index summary'!F40="NG detected",'VITA Index summary'!G40&lt;0.5),"Indeterminate",'VITA Index summary'!G40))</f>
        <v>2.6331606737729762</v>
      </c>
      <c r="N61" s="57" t="str">
        <f>'VITA Index summary'!I40</f>
        <v>EC VALID</v>
      </c>
      <c r="O61" s="22" t="str" cm="1">
        <f t="array" ref="O61">CONCATENATE(_xlfn.IFS(N61="EC INVALID","Invalid EC, repeat test/re-extract sample",J61="CT not detected","CT not detected",K61="Indeterminate","CT detected, Indeterminate Viability",K61&gt;'VITA Index summary'!$O$8,"CT detected, Viable",K61&lt;0.2,"CT detected, Indeterminate Viability",K61&lt;='VITA Index summary'!$O$8,"CT detected, Non-viable"))</f>
        <v>CT not detected</v>
      </c>
      <c r="P61" s="22" t="str" cm="1">
        <f t="array" ref="P61">CONCATENATE(_xlfn.IFS(N61="EC INVALID","Invalid EC, repeat test/re-extract sample",L61="NG not detected","NG not detected",M61="Indeterminate", "NG detected, Indeterminate Viability", M61&gt;'VITA Index summary'!$O$7,"NG detected, Viable",M61&lt;0.5,"NG detected, Indeterminate Viability",M61&lt;='VITA Index summary'!$O$7,"NG detected, Non-viable"))</f>
        <v>NG detected, Viable</v>
      </c>
    </row>
    <row r="62" spans="2:16" x14ac:dyDescent="0.25">
      <c r="B62" s="21" t="str">
        <f>'VITA Index summary'!A41</f>
        <v>D4</v>
      </c>
      <c r="C62" s="21" t="str">
        <f>'VITA Index summary'!B41</f>
        <v>OM3-004_60 min</v>
      </c>
      <c r="D62" s="55" t="str">
        <f>IFERROR(ROUND('Cq and Delta Cq'!C38,2),"N/A")</f>
        <v>N/A</v>
      </c>
      <c r="E62" s="55" t="str">
        <f>IFERROR(ROUND('Cq and Delta Cq'!D38,2),"N/A")</f>
        <v>N/A</v>
      </c>
      <c r="F62" s="55">
        <f>IFERROR(ROUND('Cq and Delta Cq'!E38,2),"N/A")</f>
        <v>26.95</v>
      </c>
      <c r="G62" s="55">
        <f>IFERROR(ROUND('Cq and Delta Cq'!F38,2),"N/A")</f>
        <v>28.99</v>
      </c>
      <c r="H62" s="55">
        <f>IFERROR(ROUND('Cq and Delta Cq'!G38,2),"N/A")</f>
        <v>31</v>
      </c>
      <c r="J62" s="22" t="str">
        <f>'VITA Index summary'!C41</f>
        <v>CT not detected</v>
      </c>
      <c r="K62" s="56" t="str">
        <f>IF(AND('VITA Index summary'!C41="NG detected",'VITA Index summary'!D41="N/A"),"Indeterminate",IF(AND('VITA Index summary'!C41="NG detected",'VITA Index summary'!D41&lt;0.2),"Indeterminate",'VITA Index summary'!D41))</f>
        <v>N/A</v>
      </c>
      <c r="L62" s="26" t="str">
        <f>'VITA Index summary'!F41</f>
        <v>NG detected</v>
      </c>
      <c r="M62" s="56">
        <f>IF(AND('VITA Index summary'!F41="NG detected",'VITA Index summary'!G41="N/A"),"Indeterminate",IF(AND('VITA Index summary'!F41="NG detected",'VITA Index summary'!G41&lt;0.5),"Indeterminate",'VITA Index summary'!G41))</f>
        <v>2.0134597597891659</v>
      </c>
      <c r="N62" s="57" t="str">
        <f>'VITA Index summary'!I41</f>
        <v>EC VALID</v>
      </c>
      <c r="O62" s="22" t="str" cm="1">
        <f t="array" ref="O62">CONCATENATE(_xlfn.IFS(N62="EC INVALID","Invalid EC, repeat test/re-extract sample",J62="CT not detected","CT not detected",K62="Indeterminate","CT detected, Indeterminate Viability",K62&gt;'VITA Index summary'!$O$8,"CT detected, Viable",K62&lt;0.2,"CT detected, Indeterminate Viability",K62&lt;='VITA Index summary'!$O$8,"CT detected, Non-viable"))</f>
        <v>CT not detected</v>
      </c>
      <c r="P62" s="22" t="str" cm="1">
        <f t="array" ref="P62">CONCATENATE(_xlfn.IFS(N62="EC INVALID","Invalid EC, repeat test/re-extract sample",L62="NG not detected","NG not detected",M62="Indeterminate", "NG detected, Indeterminate Viability", M62&gt;'VITA Index summary'!$O$7,"NG detected, Viable",M62&lt;0.5,"NG detected, Indeterminate Viability",M62&lt;='VITA Index summary'!$O$7,"NG detected, Non-viable"))</f>
        <v>NG detected, Viable</v>
      </c>
    </row>
    <row r="63" spans="2:16" x14ac:dyDescent="0.25">
      <c r="B63" s="21" t="str">
        <f>'VITA Index summary'!A42</f>
        <v>D5</v>
      </c>
      <c r="C63" s="21" t="str">
        <f>'VITA Index summary'!B42</f>
        <v>OM3-004_120 min</v>
      </c>
      <c r="D63" s="55" t="str">
        <f>IFERROR(ROUND('Cq and Delta Cq'!C39,2),"N/A")</f>
        <v>N/A</v>
      </c>
      <c r="E63" s="55" t="str">
        <f>IFERROR(ROUND('Cq and Delta Cq'!D39,2),"N/A")</f>
        <v>N/A</v>
      </c>
      <c r="F63" s="55">
        <f>IFERROR(ROUND('Cq and Delta Cq'!E39,2),"N/A")</f>
        <v>26.18</v>
      </c>
      <c r="G63" s="55">
        <f>IFERROR(ROUND('Cq and Delta Cq'!F39,2),"N/A")</f>
        <v>27.74</v>
      </c>
      <c r="H63" s="55">
        <f>IFERROR(ROUND('Cq and Delta Cq'!G39,2),"N/A")</f>
        <v>30.09</v>
      </c>
      <c r="J63" s="22" t="str">
        <f>'VITA Index summary'!C42</f>
        <v>CT not detected</v>
      </c>
      <c r="K63" s="56" t="str">
        <f>IF(AND('VITA Index summary'!C42="NG detected",'VITA Index summary'!D42="N/A"),"Indeterminate",IF(AND('VITA Index summary'!C42="NG detected",'VITA Index summary'!D42&lt;0.2),"Indeterminate",'VITA Index summary'!D42))</f>
        <v>N/A</v>
      </c>
      <c r="L63" s="26" t="str">
        <f>'VITA Index summary'!F42</f>
        <v>NG detected</v>
      </c>
      <c r="M63" s="56">
        <f>IF(AND('VITA Index summary'!F42="NG detected",'VITA Index summary'!G42="N/A"),"Indeterminate",IF(AND('VITA Index summary'!F42="NG detected",'VITA Index summary'!G42&lt;0.5),"Indeterminate",'VITA Index summary'!G42))</f>
        <v>2.5457299937335618</v>
      </c>
      <c r="N63" s="57" t="str">
        <f>'VITA Index summary'!I42</f>
        <v>EC VALID</v>
      </c>
      <c r="O63" s="22" t="str" cm="1">
        <f t="array" ref="O63">CONCATENATE(_xlfn.IFS(N63="EC INVALID","Invalid EC, repeat test/re-extract sample",J63="CT not detected","CT not detected",K63="Indeterminate","CT detected, Indeterminate Viability",K63&gt;'VITA Index summary'!$O$8,"CT detected, Viable",K63&lt;0.2,"CT detected, Indeterminate Viability",K63&lt;='VITA Index summary'!$O$8,"CT detected, Non-viable"))</f>
        <v>CT not detected</v>
      </c>
      <c r="P63" s="22" t="str" cm="1">
        <f t="array" ref="P63">CONCATENATE(_xlfn.IFS(N63="EC INVALID","Invalid EC, repeat test/re-extract sample",L63="NG not detected","NG not detected",M63="Indeterminate", "NG detected, Indeterminate Viability", M63&gt;'VITA Index summary'!$O$7,"NG detected, Viable",M63&lt;0.5,"NG detected, Indeterminate Viability",M63&lt;='VITA Index summary'!$O$7,"NG detected, Non-viable"))</f>
        <v>NG detected, Viable</v>
      </c>
    </row>
    <row r="64" spans="2:16" x14ac:dyDescent="0.25">
      <c r="B64" s="21" t="str">
        <f>'VITA Index summary'!A43</f>
        <v>D6</v>
      </c>
      <c r="C64" s="21" t="str">
        <f>'VITA Index summary'!B43</f>
        <v>OM3-012_0 min</v>
      </c>
      <c r="D64" s="55" t="str">
        <f>IFERROR(ROUND('Cq and Delta Cq'!C40,2),"N/A")</f>
        <v>N/A</v>
      </c>
      <c r="E64" s="55" t="str">
        <f>IFERROR(ROUND('Cq and Delta Cq'!D40,2),"N/A")</f>
        <v>N/A</v>
      </c>
      <c r="F64" s="55">
        <f>IFERROR(ROUND('Cq and Delta Cq'!E40,2),"N/A")</f>
        <v>23.56</v>
      </c>
      <c r="G64" s="55">
        <f>IFERROR(ROUND('Cq and Delta Cq'!F40,2),"N/A")</f>
        <v>31.63</v>
      </c>
      <c r="H64" s="55">
        <f>IFERROR(ROUND('Cq and Delta Cq'!G40,2),"N/A")</f>
        <v>34.44</v>
      </c>
      <c r="J64" s="22" t="str">
        <f>'VITA Index summary'!C43</f>
        <v>CT not detected</v>
      </c>
      <c r="K64" s="56" t="str">
        <f>IF(AND('VITA Index summary'!C43="NG detected",'VITA Index summary'!D43="N/A"),"Indeterminate",IF(AND('VITA Index summary'!C43="NG detected",'VITA Index summary'!D43&lt;0.2),"Indeterminate",'VITA Index summary'!D43))</f>
        <v>N/A</v>
      </c>
      <c r="L64" s="26" t="str">
        <f>'VITA Index summary'!F43</f>
        <v>NG detected</v>
      </c>
      <c r="M64" s="56" t="str">
        <f>IF(AND('VITA Index summary'!F43="NG detected",'VITA Index summary'!G43="N/A"),"Indeterminate",IF(AND('VITA Index summary'!F43="NG detected",'VITA Index summary'!G43&lt;0.5),"Indeterminate",'VITA Index summary'!G43))</f>
        <v>Indeterminate</v>
      </c>
      <c r="N64" s="57" t="str">
        <f>'VITA Index summary'!I43</f>
        <v>EC VALID</v>
      </c>
      <c r="O64" s="22" t="str" cm="1">
        <f t="array" ref="O64">CONCATENATE(_xlfn.IFS(N64="EC INVALID","Invalid EC, repeat test/re-extract sample",J64="CT not detected","CT not detected",K64="Indeterminate","CT detected, Indeterminate Viability",K64&gt;'VITA Index summary'!$O$8,"CT detected, Viable",K64&lt;0.2,"CT detected, Indeterminate Viability",K64&lt;='VITA Index summary'!$O$8,"CT detected, Non-viable"))</f>
        <v>CT not detected</v>
      </c>
      <c r="P64" s="22" t="str" cm="1">
        <f t="array" ref="P64">CONCATENATE(_xlfn.IFS(N64="EC INVALID","Invalid EC, repeat test/re-extract sample",L64="NG not detected","NG not detected",M64="Indeterminate", "NG detected, Indeterminate Viability", M64&gt;'VITA Index summary'!$O$7,"NG detected, Viable",M64&lt;0.5,"NG detected, Indeterminate Viability",M64&lt;='VITA Index summary'!$O$7,"NG detected, Non-viable"))</f>
        <v>NG detected, Indeterminate Viability</v>
      </c>
    </row>
    <row r="65" spans="2:16" x14ac:dyDescent="0.25">
      <c r="B65" s="21" t="str">
        <f>'VITA Index summary'!A44</f>
        <v>D7</v>
      </c>
      <c r="C65" s="21" t="str">
        <f>'VITA Index summary'!B44</f>
        <v>OM3-012_5 min</v>
      </c>
      <c r="D65" s="55" t="str">
        <f>IFERROR(ROUND('Cq and Delta Cq'!C41,2),"N/A")</f>
        <v>N/A</v>
      </c>
      <c r="E65" s="55" t="str">
        <f>IFERROR(ROUND('Cq and Delta Cq'!D41,2),"N/A")</f>
        <v>N/A</v>
      </c>
      <c r="F65" s="55">
        <f>IFERROR(ROUND('Cq and Delta Cq'!E41,2),"N/A")</f>
        <v>24.3</v>
      </c>
      <c r="G65" s="55">
        <f>IFERROR(ROUND('Cq and Delta Cq'!F41,2),"N/A")</f>
        <v>30.21</v>
      </c>
      <c r="H65" s="55">
        <f>IFERROR(ROUND('Cq and Delta Cq'!G41,2),"N/A")</f>
        <v>33</v>
      </c>
      <c r="J65" s="22" t="str">
        <f>'VITA Index summary'!C44</f>
        <v>CT not detected</v>
      </c>
      <c r="K65" s="56" t="str">
        <f>IF(AND('VITA Index summary'!C44="NG detected",'VITA Index summary'!D44="N/A"),"Indeterminate",IF(AND('VITA Index summary'!C44="NG detected",'VITA Index summary'!D44&lt;0.2),"Indeterminate",'VITA Index summary'!D44))</f>
        <v>N/A</v>
      </c>
      <c r="L65" s="26" t="str">
        <f>'VITA Index summary'!F44</f>
        <v>NG detected</v>
      </c>
      <c r="M65" s="56" t="str">
        <f>IF(AND('VITA Index summary'!F44="NG detected",'VITA Index summary'!G44="N/A"),"Indeterminate",IF(AND('VITA Index summary'!F44="NG detected",'VITA Index summary'!G44&lt;0.5),"Indeterminate",'VITA Index summary'!G44))</f>
        <v>Indeterminate</v>
      </c>
      <c r="N65" s="57" t="str">
        <f>'VITA Index summary'!I44</f>
        <v>EC VALID</v>
      </c>
      <c r="O65" s="22" t="str" cm="1">
        <f t="array" ref="O65">CONCATENATE(_xlfn.IFS(N65="EC INVALID","Invalid EC, repeat test/re-extract sample",J65="CT not detected","CT not detected",K65="Indeterminate","CT detected, Indeterminate Viability",K65&gt;'VITA Index summary'!$O$8,"CT detected, Viable",K65&lt;0.2,"CT detected, Indeterminate Viability",K65&lt;='VITA Index summary'!$O$8,"CT detected, Non-viable"))</f>
        <v>CT not detected</v>
      </c>
      <c r="P65" s="22" t="str" cm="1">
        <f t="array" ref="P65">CONCATENATE(_xlfn.IFS(N65="EC INVALID","Invalid EC, repeat test/re-extract sample",L65="NG not detected","NG not detected",M65="Indeterminate", "NG detected, Indeterminate Viability", M65&gt;'VITA Index summary'!$O$7,"NG detected, Viable",M65&lt;0.5,"NG detected, Indeterminate Viability",M65&lt;='VITA Index summary'!$O$7,"NG detected, Non-viable"))</f>
        <v>NG detected, Indeterminate Viability</v>
      </c>
    </row>
    <row r="66" spans="2:16" x14ac:dyDescent="0.25">
      <c r="B66" s="21" t="str">
        <f>'VITA Index summary'!A45</f>
        <v>D8</v>
      </c>
      <c r="C66" s="21" t="str">
        <f>'VITA Index summary'!B45</f>
        <v>OM3-012_30 min</v>
      </c>
      <c r="D66" s="55" t="str">
        <f>IFERROR(ROUND('Cq and Delta Cq'!C42,2),"N/A")</f>
        <v>N/A</v>
      </c>
      <c r="E66" s="55" t="str">
        <f>IFERROR(ROUND('Cq and Delta Cq'!D42,2),"N/A")</f>
        <v>N/A</v>
      </c>
      <c r="F66" s="55">
        <f>IFERROR(ROUND('Cq and Delta Cq'!E42,2),"N/A")</f>
        <v>24.06</v>
      </c>
      <c r="G66" s="55">
        <f>IFERROR(ROUND('Cq and Delta Cq'!F42,2),"N/A")</f>
        <v>30.36</v>
      </c>
      <c r="H66" s="55">
        <f>IFERROR(ROUND('Cq and Delta Cq'!G42,2),"N/A")</f>
        <v>31.93</v>
      </c>
      <c r="J66" s="22" t="str">
        <f>'VITA Index summary'!C45</f>
        <v>CT not detected</v>
      </c>
      <c r="K66" s="56" t="str">
        <f>IF(AND('VITA Index summary'!C45="NG detected",'VITA Index summary'!D45="N/A"),"Indeterminate",IF(AND('VITA Index summary'!C45="NG detected",'VITA Index summary'!D45&lt;0.2),"Indeterminate",'VITA Index summary'!D45))</f>
        <v>N/A</v>
      </c>
      <c r="L66" s="26" t="str">
        <f>'VITA Index summary'!F45</f>
        <v>NG detected</v>
      </c>
      <c r="M66" s="56">
        <f>IF(AND('VITA Index summary'!F45="NG detected",'VITA Index summary'!G45="N/A"),"Indeterminate",IF(AND('VITA Index summary'!F45="NG detected",'VITA Index summary'!G45&lt;0.5),"Indeterminate",'VITA Index summary'!G45))</f>
        <v>1.4888619403748775</v>
      </c>
      <c r="N66" s="57" t="str">
        <f>'VITA Index summary'!I45</f>
        <v>EC VALID</v>
      </c>
      <c r="O66" s="22" t="str" cm="1">
        <f t="array" ref="O66">CONCATENATE(_xlfn.IFS(N66="EC INVALID","Invalid EC, repeat test/re-extract sample",J66="CT not detected","CT not detected",K66="Indeterminate","CT detected, Indeterminate Viability",K66&gt;'VITA Index summary'!$O$8,"CT detected, Viable",K66&lt;0.2,"CT detected, Indeterminate Viability",K66&lt;='VITA Index summary'!$O$8,"CT detected, Non-viable"))</f>
        <v>CT not detected</v>
      </c>
      <c r="P66" s="22" t="str" cm="1">
        <f t="array" ref="P66">CONCATENATE(_xlfn.IFS(N66="EC INVALID","Invalid EC, repeat test/re-extract sample",L66="NG not detected","NG not detected",M66="Indeterminate", "NG detected, Indeterminate Viability", M66&gt;'VITA Index summary'!$O$7,"NG detected, Viable",M66&lt;0.5,"NG detected, Indeterminate Viability",M66&lt;='VITA Index summary'!$O$7,"NG detected, Non-viable"))</f>
        <v>NG detected, Viable</v>
      </c>
    </row>
    <row r="67" spans="2:16" x14ac:dyDescent="0.25">
      <c r="B67" s="21" t="str">
        <f>'VITA Index summary'!A46</f>
        <v>D9</v>
      </c>
      <c r="C67" s="21" t="str">
        <f>'VITA Index summary'!B46</f>
        <v>OM3-012_60 min</v>
      </c>
      <c r="D67" s="55" t="str">
        <f>IFERROR(ROUND('Cq and Delta Cq'!C43,2),"N/A")</f>
        <v>N/A</v>
      </c>
      <c r="E67" s="55" t="str">
        <f>IFERROR(ROUND('Cq and Delta Cq'!D43,2),"N/A")</f>
        <v>N/A</v>
      </c>
      <c r="F67" s="55">
        <f>IFERROR(ROUND('Cq and Delta Cq'!E43,2),"N/A")</f>
        <v>25.07</v>
      </c>
      <c r="G67" s="55">
        <f>IFERROR(ROUND('Cq and Delta Cq'!F43,2),"N/A")</f>
        <v>31.1</v>
      </c>
      <c r="H67" s="55">
        <f>IFERROR(ROUND('Cq and Delta Cq'!G43,2),"N/A")</f>
        <v>32.89</v>
      </c>
      <c r="J67" s="22" t="str">
        <f>'VITA Index summary'!C46</f>
        <v>CT not detected</v>
      </c>
      <c r="K67" s="56" t="str">
        <f>IF(AND('VITA Index summary'!C46="NG detected",'VITA Index summary'!D46="N/A"),"Indeterminate",IF(AND('VITA Index summary'!C46="NG detected",'VITA Index summary'!D46&lt;0.2),"Indeterminate",'VITA Index summary'!D46))</f>
        <v>N/A</v>
      </c>
      <c r="L67" s="26" t="str">
        <f>'VITA Index summary'!F46</f>
        <v>NG detected</v>
      </c>
      <c r="M67" s="56" t="str">
        <f>IF(AND('VITA Index summary'!F46="NG detected",'VITA Index summary'!G46="N/A"),"Indeterminate",IF(AND('VITA Index summary'!F46="NG detected",'VITA Index summary'!G46&lt;0.5),"Indeterminate",'VITA Index summary'!G46))</f>
        <v>Indeterminate</v>
      </c>
      <c r="N67" s="57" t="str">
        <f>'VITA Index summary'!I46</f>
        <v>EC VALID</v>
      </c>
      <c r="O67" s="22" t="str" cm="1">
        <f t="array" ref="O67">CONCATENATE(_xlfn.IFS(N67="EC INVALID","Invalid EC, repeat test/re-extract sample",J67="CT not detected","CT not detected",K67="Indeterminate","CT detected, Indeterminate Viability",K67&gt;'VITA Index summary'!$O$8,"CT detected, Viable",K67&lt;0.2,"CT detected, Indeterminate Viability",K67&lt;='VITA Index summary'!$O$8,"CT detected, Non-viable"))</f>
        <v>CT not detected</v>
      </c>
      <c r="P67" s="22" t="str" cm="1">
        <f t="array" ref="P67">CONCATENATE(_xlfn.IFS(N67="EC INVALID","Invalid EC, repeat test/re-extract sample",L67="NG not detected","NG not detected",M67="Indeterminate", "NG detected, Indeterminate Viability", M67&gt;'VITA Index summary'!$O$7,"NG detected, Viable",M67&lt;0.5,"NG detected, Indeterminate Viability",M67&lt;='VITA Index summary'!$O$7,"NG detected, Non-viable"))</f>
        <v>NG detected, Indeterminate Viability</v>
      </c>
    </row>
    <row r="68" spans="2:16" x14ac:dyDescent="0.25">
      <c r="B68" s="21" t="str">
        <f>'VITA Index summary'!A47</f>
        <v>D10</v>
      </c>
      <c r="C68" s="21" t="str">
        <f>'VITA Index summary'!B47</f>
        <v>OM3-012_120 min</v>
      </c>
      <c r="D68" s="55" t="str">
        <f>IFERROR(ROUND('Cq and Delta Cq'!C44,2),"N/A")</f>
        <v>N/A</v>
      </c>
      <c r="E68" s="55" t="str">
        <f>IFERROR(ROUND('Cq and Delta Cq'!D44,2),"N/A")</f>
        <v>N/A</v>
      </c>
      <c r="F68" s="55">
        <f>IFERROR(ROUND('Cq and Delta Cq'!E44,2),"N/A")</f>
        <v>26.18</v>
      </c>
      <c r="G68" s="55">
        <f>IFERROR(ROUND('Cq and Delta Cq'!F44,2),"N/A")</f>
        <v>29.13</v>
      </c>
      <c r="H68" s="55">
        <f>IFERROR(ROUND('Cq and Delta Cq'!G44,2),"N/A")</f>
        <v>31.71</v>
      </c>
      <c r="J68" s="22" t="str">
        <f>'VITA Index summary'!C47</f>
        <v>CT not detected</v>
      </c>
      <c r="K68" s="56" t="str">
        <f>IF(AND('VITA Index summary'!C47="NG detected",'VITA Index summary'!D47="N/A"),"Indeterminate",IF(AND('VITA Index summary'!C47="NG detected",'VITA Index summary'!D47&lt;0.2),"Indeterminate",'VITA Index summary'!D47))</f>
        <v>N/A</v>
      </c>
      <c r="L68" s="26" t="str">
        <f>'VITA Index summary'!F47</f>
        <v>NG detected</v>
      </c>
      <c r="M68" s="56">
        <f>IF(AND('VITA Index summary'!F47="NG detected",'VITA Index summary'!G47="N/A"),"Indeterminate",IF(AND('VITA Index summary'!F47="NG detected",'VITA Index summary'!G47&lt;0.5),"Indeterminate",'VITA Index summary'!G47))</f>
        <v>2.9811025131279805</v>
      </c>
      <c r="N68" s="57" t="str">
        <f>'VITA Index summary'!I47</f>
        <v>EC VALID</v>
      </c>
      <c r="O68" s="22" t="str" cm="1">
        <f t="array" ref="O68">CONCATENATE(_xlfn.IFS(N68="EC INVALID","Invalid EC, repeat test/re-extract sample",J68="CT not detected","CT not detected",K68="Indeterminate","CT detected, Indeterminate Viability",K68&gt;'VITA Index summary'!$O$8,"CT detected, Viable",K68&lt;0.2,"CT detected, Indeterminate Viability",K68&lt;='VITA Index summary'!$O$8,"CT detected, Non-viable"))</f>
        <v>CT not detected</v>
      </c>
      <c r="P68" s="22" t="str" cm="1">
        <f t="array" ref="P68">CONCATENATE(_xlfn.IFS(N68="EC INVALID","Invalid EC, repeat test/re-extract sample",L68="NG not detected","NG not detected",M68="Indeterminate", "NG detected, Indeterminate Viability", M68&gt;'VITA Index summary'!$O$7,"NG detected, Viable",M68&lt;0.5,"NG detected, Indeterminate Viability",M68&lt;='VITA Index summary'!$O$7,"NG detected, Non-viable"))</f>
        <v>NG detected, Viable</v>
      </c>
    </row>
    <row r="69" spans="2:16" x14ac:dyDescent="0.25">
      <c r="B69" s="21" t="str">
        <f>'VITA Index summary'!A48</f>
        <v>E1</v>
      </c>
      <c r="C69" s="21" t="str">
        <f>'VITA Index summary'!B48</f>
        <v>OM3-005_0 min</v>
      </c>
      <c r="D69" s="55" t="str">
        <f>IFERROR(ROUND('Cq and Delta Cq'!C45,2),"N/A")</f>
        <v>N/A</v>
      </c>
      <c r="E69" s="55" t="str">
        <f>IFERROR(ROUND('Cq and Delta Cq'!D45,2),"N/A")</f>
        <v>N/A</v>
      </c>
      <c r="F69" s="55">
        <f>IFERROR(ROUND('Cq and Delta Cq'!E45,2),"N/A")</f>
        <v>25.65</v>
      </c>
      <c r="G69" s="55">
        <f>IFERROR(ROUND('Cq and Delta Cq'!F45,2),"N/A")</f>
        <v>27.98</v>
      </c>
      <c r="H69" s="55">
        <f>IFERROR(ROUND('Cq and Delta Cq'!G45,2),"N/A")</f>
        <v>31.26</v>
      </c>
      <c r="J69" s="22" t="str">
        <f>'VITA Index summary'!C48</f>
        <v>CT not detected</v>
      </c>
      <c r="K69" s="56" t="str">
        <f>IF(AND('VITA Index summary'!C48="NG detected",'VITA Index summary'!D48="N/A"),"Indeterminate",IF(AND('VITA Index summary'!C48="NG detected",'VITA Index summary'!D48&lt;0.2),"Indeterminate",'VITA Index summary'!D48))</f>
        <v>N/A</v>
      </c>
      <c r="L69" s="26" t="str">
        <f>'VITA Index summary'!F48</f>
        <v>NG detected</v>
      </c>
      <c r="M69" s="56">
        <f>IF(AND('VITA Index summary'!F48="NG detected",'VITA Index summary'!G48="N/A"),"Indeterminate",IF(AND('VITA Index summary'!F48="NG detected",'VITA Index summary'!G48&lt;0.5),"Indeterminate",'VITA Index summary'!G48))</f>
        <v>4.8380393443762593</v>
      </c>
      <c r="N69" s="57" t="str">
        <f>'VITA Index summary'!I48</f>
        <v>EC VALID</v>
      </c>
      <c r="O69" s="22" t="str" cm="1">
        <f t="array" ref="O69">CONCATENATE(_xlfn.IFS(N69="EC INVALID","Invalid EC, repeat test/re-extract sample",J69="CT not detected","CT not detected",K69="Indeterminate","CT detected, Indeterminate Viability",K69&gt;'VITA Index summary'!$O$8,"CT detected, Viable",K69&lt;0.2,"CT detected, Indeterminate Viability",K69&lt;='VITA Index summary'!$O$8,"CT detected, Non-viable"))</f>
        <v>CT not detected</v>
      </c>
      <c r="P69" s="22" t="str" cm="1">
        <f t="array" ref="P69">CONCATENATE(_xlfn.IFS(N69="EC INVALID","Invalid EC, repeat test/re-extract sample",L69="NG not detected","NG not detected",M69="Indeterminate", "NG detected, Indeterminate Viability", M69&gt;'VITA Index summary'!$O$7,"NG detected, Viable",M69&lt;0.5,"NG detected, Indeterminate Viability",M69&lt;='VITA Index summary'!$O$7,"NG detected, Non-viable"))</f>
        <v>NG detected, Viable</v>
      </c>
    </row>
    <row r="70" spans="2:16" x14ac:dyDescent="0.25">
      <c r="B70" s="21" t="str">
        <f>'VITA Index summary'!A49</f>
        <v>E2</v>
      </c>
      <c r="C70" s="21" t="str">
        <f>'VITA Index summary'!B49</f>
        <v>OM3-005_5 min</v>
      </c>
      <c r="D70" s="55" t="str">
        <f>IFERROR(ROUND('Cq and Delta Cq'!C46,2),"N/A")</f>
        <v>N/A</v>
      </c>
      <c r="E70" s="55" t="str">
        <f>IFERROR(ROUND('Cq and Delta Cq'!D46,2),"N/A")</f>
        <v>N/A</v>
      </c>
      <c r="F70" s="55">
        <f>IFERROR(ROUND('Cq and Delta Cq'!E46,2),"N/A")</f>
        <v>25.83</v>
      </c>
      <c r="G70" s="55">
        <f>IFERROR(ROUND('Cq and Delta Cq'!F46,2),"N/A")</f>
        <v>28.9</v>
      </c>
      <c r="H70" s="55">
        <f>IFERROR(ROUND('Cq and Delta Cq'!G46,2),"N/A")</f>
        <v>31.46</v>
      </c>
      <c r="J70" s="22" t="str">
        <f>'VITA Index summary'!C49</f>
        <v>CT not detected</v>
      </c>
      <c r="K70" s="56" t="str">
        <f>IF(AND('VITA Index summary'!C49="NG detected",'VITA Index summary'!D49="N/A"),"Indeterminate",IF(AND('VITA Index summary'!C49="NG detected",'VITA Index summary'!D49&lt;0.2),"Indeterminate",'VITA Index summary'!D49))</f>
        <v>N/A</v>
      </c>
      <c r="L70" s="26" t="str">
        <f>'VITA Index summary'!F49</f>
        <v>NG detected</v>
      </c>
      <c r="M70" s="56">
        <f>IF(AND('VITA Index summary'!F49="NG detected",'VITA Index summary'!G49="N/A"),"Indeterminate",IF(AND('VITA Index summary'!F49="NG detected",'VITA Index summary'!G49&lt;0.5),"Indeterminate",'VITA Index summary'!G49))</f>
        <v>2.9380591895880861</v>
      </c>
      <c r="N70" s="57" t="str">
        <f>'VITA Index summary'!I49</f>
        <v>EC VALID</v>
      </c>
      <c r="O70" s="22" t="str" cm="1">
        <f t="array" ref="O70">CONCATENATE(_xlfn.IFS(N70="EC INVALID","Invalid EC, repeat test/re-extract sample",J70="CT not detected","CT not detected",K70="Indeterminate","CT detected, Indeterminate Viability",K70&gt;'VITA Index summary'!$O$8,"CT detected, Viable",K70&lt;0.2,"CT detected, Indeterminate Viability",K70&lt;='VITA Index summary'!$O$8,"CT detected, Non-viable"))</f>
        <v>CT not detected</v>
      </c>
      <c r="P70" s="22" t="str" cm="1">
        <f t="array" ref="P70">CONCATENATE(_xlfn.IFS(N70="EC INVALID","Invalid EC, repeat test/re-extract sample",L70="NG not detected","NG not detected",M70="Indeterminate", "NG detected, Indeterminate Viability", M70&gt;'VITA Index summary'!$O$7,"NG detected, Viable",M70&lt;0.5,"NG detected, Indeterminate Viability",M70&lt;='VITA Index summary'!$O$7,"NG detected, Non-viable"))</f>
        <v>NG detected, Viable</v>
      </c>
    </row>
    <row r="71" spans="2:16" x14ac:dyDescent="0.25">
      <c r="B71" s="21" t="str">
        <f>'VITA Index summary'!A50</f>
        <v>E3</v>
      </c>
      <c r="C71" s="21" t="str">
        <f>'VITA Index summary'!B50</f>
        <v>OM3-005_30 min</v>
      </c>
      <c r="D71" s="55" t="str">
        <f>IFERROR(ROUND('Cq and Delta Cq'!C47,2),"N/A")</f>
        <v>N/A</v>
      </c>
      <c r="E71" s="55" t="str">
        <f>IFERROR(ROUND('Cq and Delta Cq'!D47,2),"N/A")</f>
        <v>N/A</v>
      </c>
      <c r="F71" s="55">
        <f>IFERROR(ROUND('Cq and Delta Cq'!E47,2),"N/A")</f>
        <v>25.37</v>
      </c>
      <c r="G71" s="55">
        <f>IFERROR(ROUND('Cq and Delta Cq'!F47,2),"N/A")</f>
        <v>28.81</v>
      </c>
      <c r="H71" s="55">
        <f>IFERROR(ROUND('Cq and Delta Cq'!G47,2),"N/A")</f>
        <v>31.75</v>
      </c>
      <c r="J71" s="22" t="str">
        <f>'VITA Index summary'!C50</f>
        <v>CT not detected</v>
      </c>
      <c r="K71" s="56" t="str">
        <f>IF(AND('VITA Index summary'!C50="NG detected",'VITA Index summary'!D50="N/A"),"Indeterminate",IF(AND('VITA Index summary'!C50="NG detected",'VITA Index summary'!D50&lt;0.2),"Indeterminate",'VITA Index summary'!D50))</f>
        <v>N/A</v>
      </c>
      <c r="L71" s="26" t="str">
        <f>'VITA Index summary'!F50</f>
        <v>NG detected</v>
      </c>
      <c r="M71" s="56">
        <f>IF(AND('VITA Index summary'!F50="NG detected",'VITA Index summary'!G50="N/A"),"Indeterminate",IF(AND('VITA Index summary'!F50="NG detected",'VITA Index summary'!G50&lt;0.5),"Indeterminate",'VITA Index summary'!G50))</f>
        <v>3.8382616013067463</v>
      </c>
      <c r="N71" s="57" t="str">
        <f>'VITA Index summary'!I50</f>
        <v>EC VALID</v>
      </c>
      <c r="O71" s="22" t="str" cm="1">
        <f t="array" ref="O71">CONCATENATE(_xlfn.IFS(N71="EC INVALID","Invalid EC, repeat test/re-extract sample",J71="CT not detected","CT not detected",K71="Indeterminate","CT detected, Indeterminate Viability",K71&gt;'VITA Index summary'!$O$8,"CT detected, Viable",K71&lt;0.2,"CT detected, Indeterminate Viability",K71&lt;='VITA Index summary'!$O$8,"CT detected, Non-viable"))</f>
        <v>CT not detected</v>
      </c>
      <c r="P71" s="22" t="str" cm="1">
        <f t="array" ref="P71">CONCATENATE(_xlfn.IFS(N71="EC INVALID","Invalid EC, repeat test/re-extract sample",L71="NG not detected","NG not detected",M71="Indeterminate", "NG detected, Indeterminate Viability", M71&gt;'VITA Index summary'!$O$7,"NG detected, Viable",M71&lt;0.5,"NG detected, Indeterminate Viability",M71&lt;='VITA Index summary'!$O$7,"NG detected, Non-viable"))</f>
        <v>NG detected, Viable</v>
      </c>
    </row>
    <row r="72" spans="2:16" x14ac:dyDescent="0.25">
      <c r="B72" s="21" t="str">
        <f>'VITA Index summary'!A51</f>
        <v>E4</v>
      </c>
      <c r="C72" s="21" t="str">
        <f>'VITA Index summary'!B51</f>
        <v>OM3-005_60 min</v>
      </c>
      <c r="D72" s="55" t="str">
        <f>IFERROR(ROUND('Cq and Delta Cq'!C48,2),"N/A")</f>
        <v>N/A</v>
      </c>
      <c r="E72" s="55" t="str">
        <f>IFERROR(ROUND('Cq and Delta Cq'!D48,2),"N/A")</f>
        <v>N/A</v>
      </c>
      <c r="F72" s="55">
        <f>IFERROR(ROUND('Cq and Delta Cq'!E48,2),"N/A")</f>
        <v>26.81</v>
      </c>
      <c r="G72" s="55">
        <f>IFERROR(ROUND('Cq and Delta Cq'!F48,2),"N/A")</f>
        <v>30.84</v>
      </c>
      <c r="H72" s="55">
        <f>IFERROR(ROUND('Cq and Delta Cq'!G48,2),"N/A")</f>
        <v>32.9</v>
      </c>
      <c r="J72" s="22" t="str">
        <f>'VITA Index summary'!C51</f>
        <v>CT not detected</v>
      </c>
      <c r="K72" s="56" t="str">
        <f>IF(AND('VITA Index summary'!C51="NG detected",'VITA Index summary'!D51="N/A"),"Indeterminate",IF(AND('VITA Index summary'!C51="NG detected",'VITA Index summary'!D51&lt;0.2),"Indeterminate",'VITA Index summary'!D51))</f>
        <v>N/A</v>
      </c>
      <c r="L72" s="26" t="str">
        <f>'VITA Index summary'!F51</f>
        <v>NG detected</v>
      </c>
      <c r="M72" s="56" t="str">
        <f>IF(AND('VITA Index summary'!F51="NG detected",'VITA Index summary'!G51="N/A"),"Indeterminate",IF(AND('VITA Index summary'!F51="NG detected",'VITA Index summary'!G51&lt;0.5),"Indeterminate",'VITA Index summary'!G51))</f>
        <v>Indeterminate</v>
      </c>
      <c r="N72" s="57" t="str">
        <f>'VITA Index summary'!I51</f>
        <v>EC VALID</v>
      </c>
      <c r="O72" s="22" t="str" cm="1">
        <f t="array" ref="O72">CONCATENATE(_xlfn.IFS(N72="EC INVALID","Invalid EC, repeat test/re-extract sample",J72="CT not detected","CT not detected",K72="Indeterminate","CT detected, Indeterminate Viability",K72&gt;'VITA Index summary'!$O$8,"CT detected, Viable",K72&lt;0.2,"CT detected, Indeterminate Viability",K72&lt;='VITA Index summary'!$O$8,"CT detected, Non-viable"))</f>
        <v>CT not detected</v>
      </c>
      <c r="P72" s="22" t="str" cm="1">
        <f t="array" ref="P72">CONCATENATE(_xlfn.IFS(N72="EC INVALID","Invalid EC, repeat test/re-extract sample",L72="NG not detected","NG not detected",M72="Indeterminate", "NG detected, Indeterminate Viability", M72&gt;'VITA Index summary'!$O$7,"NG detected, Viable",M72&lt;0.5,"NG detected, Indeterminate Viability",M72&lt;='VITA Index summary'!$O$7,"NG detected, Non-viable"))</f>
        <v>NG detected, Indeterminate Viability</v>
      </c>
    </row>
    <row r="73" spans="2:16" x14ac:dyDescent="0.25">
      <c r="B73" s="21" t="str">
        <f>'VITA Index summary'!A52</f>
        <v>E5</v>
      </c>
      <c r="C73" s="21" t="str">
        <f>'VITA Index summary'!B52</f>
        <v>OM3-005_120 min</v>
      </c>
      <c r="D73" s="55" t="str">
        <f>IFERROR(ROUND('Cq and Delta Cq'!C49,2),"N/A")</f>
        <v>N/A</v>
      </c>
      <c r="E73" s="55" t="str">
        <f>IFERROR(ROUND('Cq and Delta Cq'!D49,2),"N/A")</f>
        <v>N/A</v>
      </c>
      <c r="F73" s="55">
        <f>IFERROR(ROUND('Cq and Delta Cq'!E49,2),"N/A")</f>
        <v>23.45</v>
      </c>
      <c r="G73" s="55">
        <f>IFERROR(ROUND('Cq and Delta Cq'!F49,2),"N/A")</f>
        <v>27.08</v>
      </c>
      <c r="H73" s="55">
        <f>IFERROR(ROUND('Cq and Delta Cq'!G49,2),"N/A")</f>
        <v>29.68</v>
      </c>
      <c r="J73" s="22" t="str">
        <f>'VITA Index summary'!C52</f>
        <v>CT not detected</v>
      </c>
      <c r="K73" s="56" t="str">
        <f>IF(AND('VITA Index summary'!C52="NG detected",'VITA Index summary'!D52="N/A"),"Indeterminate",IF(AND('VITA Index summary'!C52="NG detected",'VITA Index summary'!D52&lt;0.2),"Indeterminate",'VITA Index summary'!D52))</f>
        <v>N/A</v>
      </c>
      <c r="L73" s="26" t="str">
        <f>'VITA Index summary'!F52</f>
        <v>NG detected</v>
      </c>
      <c r="M73" s="56">
        <f>IF(AND('VITA Index summary'!F52="NG detected",'VITA Index summary'!G52="N/A"),"Indeterminate",IF(AND('VITA Index summary'!F52="NG detected",'VITA Index summary'!G52&lt;0.5),"Indeterminate",'VITA Index summary'!G52))</f>
        <v>3.0247185590961214</v>
      </c>
      <c r="N73" s="57" t="str">
        <f>'VITA Index summary'!I52</f>
        <v>EC VALID</v>
      </c>
      <c r="O73" s="22" t="str" cm="1">
        <f t="array" ref="O73">CONCATENATE(_xlfn.IFS(N73="EC INVALID","Invalid EC, repeat test/re-extract sample",J73="CT not detected","CT not detected",K73="Indeterminate","CT detected, Indeterminate Viability",K73&gt;'VITA Index summary'!$O$8,"CT detected, Viable",K73&lt;0.2,"CT detected, Indeterminate Viability",K73&lt;='VITA Index summary'!$O$8,"CT detected, Non-viable"))</f>
        <v>CT not detected</v>
      </c>
      <c r="P73" s="22" t="str" cm="1">
        <f t="array" ref="P73">CONCATENATE(_xlfn.IFS(N73="EC INVALID","Invalid EC, repeat test/re-extract sample",L73="NG not detected","NG not detected",M73="Indeterminate", "NG detected, Indeterminate Viability", M73&gt;'VITA Index summary'!$O$7,"NG detected, Viable",M73&lt;0.5,"NG detected, Indeterminate Viability",M73&lt;='VITA Index summary'!$O$7,"NG detected, Non-viable"))</f>
        <v>NG detected, Viable</v>
      </c>
    </row>
    <row r="74" spans="2:16" x14ac:dyDescent="0.25">
      <c r="B74" s="21" t="str">
        <f>'VITA Index summary'!A53</f>
        <v>E6</v>
      </c>
      <c r="C74" s="21" t="str">
        <f>'VITA Index summary'!B53</f>
        <v>OM3-013_0 min</v>
      </c>
      <c r="D74" s="55" t="str">
        <f>IFERROR(ROUND('Cq and Delta Cq'!C50,2),"N/A")</f>
        <v>N/A</v>
      </c>
      <c r="E74" s="55" t="str">
        <f>IFERROR(ROUND('Cq and Delta Cq'!D50,2),"N/A")</f>
        <v>N/A</v>
      </c>
      <c r="F74" s="55">
        <f>IFERROR(ROUND('Cq and Delta Cq'!E50,2),"N/A")</f>
        <v>22.74</v>
      </c>
      <c r="G74" s="55">
        <f>IFERROR(ROUND('Cq and Delta Cq'!F50,2),"N/A")</f>
        <v>22.44</v>
      </c>
      <c r="H74" s="55">
        <f>IFERROR(ROUND('Cq and Delta Cq'!G50,2),"N/A")</f>
        <v>27</v>
      </c>
      <c r="J74" s="22" t="str">
        <f>'VITA Index summary'!C53</f>
        <v>CT not detected</v>
      </c>
      <c r="K74" s="56" t="str">
        <f>IF(AND('VITA Index summary'!C53="NG detected",'VITA Index summary'!D53="N/A"),"Indeterminate",IF(AND('VITA Index summary'!C53="NG detected",'VITA Index summary'!D53&lt;0.2),"Indeterminate",'VITA Index summary'!D53))</f>
        <v>N/A</v>
      </c>
      <c r="L74" s="26" t="str">
        <f>'VITA Index summary'!F53</f>
        <v>NG detected</v>
      </c>
      <c r="M74" s="56">
        <f>IF(AND('VITA Index summary'!F53="NG detected",'VITA Index summary'!G53="N/A"),"Indeterminate",IF(AND('VITA Index summary'!F53="NG detected",'VITA Index summary'!G53&lt;0.5),"Indeterminate",'VITA Index summary'!G53))</f>
        <v>11.815264980139315</v>
      </c>
      <c r="N74" s="57" t="str">
        <f>'VITA Index summary'!I53</f>
        <v>EC VALID</v>
      </c>
      <c r="O74" s="22" t="str" cm="1">
        <f t="array" ref="O74">CONCATENATE(_xlfn.IFS(N74="EC INVALID","Invalid EC, repeat test/re-extract sample",J74="CT not detected","CT not detected",K74="Indeterminate","CT detected, Indeterminate Viability",K74&gt;'VITA Index summary'!$O$8,"CT detected, Viable",K74&lt;0.2,"CT detected, Indeterminate Viability",K74&lt;='VITA Index summary'!$O$8,"CT detected, Non-viable"))</f>
        <v>CT not detected</v>
      </c>
      <c r="P74" s="22" t="str" cm="1">
        <f t="array" ref="P74">CONCATENATE(_xlfn.IFS(N74="EC INVALID","Invalid EC, repeat test/re-extract sample",L74="NG not detected","NG not detected",M74="Indeterminate", "NG detected, Indeterminate Viability", M74&gt;'VITA Index summary'!$O$7,"NG detected, Viable",M74&lt;0.5,"NG detected, Indeterminate Viability",M74&lt;='VITA Index summary'!$O$7,"NG detected, Non-viable"))</f>
        <v>NG detected, Viable</v>
      </c>
    </row>
    <row r="75" spans="2:16" x14ac:dyDescent="0.25">
      <c r="B75" s="21" t="str">
        <f>'VITA Index summary'!A54</f>
        <v>E7</v>
      </c>
      <c r="C75" s="21" t="str">
        <f>'VITA Index summary'!B54</f>
        <v>OM3-013_5 min</v>
      </c>
      <c r="D75" s="55" t="str">
        <f>IFERROR(ROUND('Cq and Delta Cq'!C51,2),"N/A")</f>
        <v>N/A</v>
      </c>
      <c r="E75" s="55" t="str">
        <f>IFERROR(ROUND('Cq and Delta Cq'!D51,2),"N/A")</f>
        <v>N/A</v>
      </c>
      <c r="F75" s="55">
        <f>IFERROR(ROUND('Cq and Delta Cq'!E51,2),"N/A")</f>
        <v>22.98</v>
      </c>
      <c r="G75" s="55">
        <f>IFERROR(ROUND('Cq and Delta Cq'!F51,2),"N/A")</f>
        <v>20.82</v>
      </c>
      <c r="H75" s="55">
        <f>IFERROR(ROUND('Cq and Delta Cq'!G51,2),"N/A")</f>
        <v>25.2</v>
      </c>
      <c r="J75" s="22" t="str">
        <f>'VITA Index summary'!C54</f>
        <v>CT not detected</v>
      </c>
      <c r="K75" s="56" t="str">
        <f>IF(AND('VITA Index summary'!C54="NG detected",'VITA Index summary'!D54="N/A"),"Indeterminate",IF(AND('VITA Index summary'!C54="NG detected",'VITA Index summary'!D54&lt;0.2),"Indeterminate",'VITA Index summary'!D54))</f>
        <v>N/A</v>
      </c>
      <c r="L75" s="26" t="str">
        <f>'VITA Index summary'!F54</f>
        <v>NG detected</v>
      </c>
      <c r="M75" s="56">
        <f>IF(AND('VITA Index summary'!F54="NG detected",'VITA Index summary'!G54="N/A"),"Indeterminate",IF(AND('VITA Index summary'!F54="NG detected",'VITA Index summary'!G54&lt;0.5),"Indeterminate",'VITA Index summary'!G54))</f>
        <v>10.387651073548639</v>
      </c>
      <c r="N75" s="57" t="str">
        <f>'VITA Index summary'!I54</f>
        <v>EC VALID</v>
      </c>
      <c r="O75" s="22" t="str" cm="1">
        <f t="array" ref="O75">CONCATENATE(_xlfn.IFS(N75="EC INVALID","Invalid EC, repeat test/re-extract sample",J75="CT not detected","CT not detected",K75="Indeterminate","CT detected, Indeterminate Viability",K75&gt;'VITA Index summary'!$O$8,"CT detected, Viable",K75&lt;0.2,"CT detected, Indeterminate Viability",K75&lt;='VITA Index summary'!$O$8,"CT detected, Non-viable"))</f>
        <v>CT not detected</v>
      </c>
      <c r="P75" s="22" t="str" cm="1">
        <f t="array" ref="P75">CONCATENATE(_xlfn.IFS(N75="EC INVALID","Invalid EC, repeat test/re-extract sample",L75="NG not detected","NG not detected",M75="Indeterminate", "NG detected, Indeterminate Viability", M75&gt;'VITA Index summary'!$O$7,"NG detected, Viable",M75&lt;0.5,"NG detected, Indeterminate Viability",M75&lt;='VITA Index summary'!$O$7,"NG detected, Non-viable"))</f>
        <v>NG detected, Viable</v>
      </c>
    </row>
    <row r="76" spans="2:16" x14ac:dyDescent="0.25">
      <c r="B76" s="21" t="str">
        <f>'VITA Index summary'!A55</f>
        <v>E8</v>
      </c>
      <c r="C76" s="21" t="str">
        <f>'VITA Index summary'!B55</f>
        <v>OM3-013_30 min</v>
      </c>
      <c r="D76" s="55" t="str">
        <f>IFERROR(ROUND('Cq and Delta Cq'!C52,2),"N/A")</f>
        <v>N/A</v>
      </c>
      <c r="E76" s="55" t="str">
        <f>IFERROR(ROUND('Cq and Delta Cq'!D52,2),"N/A")</f>
        <v>N/A</v>
      </c>
      <c r="F76" s="55">
        <f>IFERROR(ROUND('Cq and Delta Cq'!E52,2),"N/A")</f>
        <v>23.27</v>
      </c>
      <c r="G76" s="55">
        <f>IFERROR(ROUND('Cq and Delta Cq'!F52,2),"N/A")</f>
        <v>21.64</v>
      </c>
      <c r="H76" s="55">
        <f>IFERROR(ROUND('Cq and Delta Cq'!G52,2),"N/A")</f>
        <v>26.18</v>
      </c>
      <c r="J76" s="22" t="str">
        <f>'VITA Index summary'!C55</f>
        <v>CT not detected</v>
      </c>
      <c r="K76" s="56" t="str">
        <f>IF(AND('VITA Index summary'!C55="NG detected",'VITA Index summary'!D55="N/A"),"Indeterminate",IF(AND('VITA Index summary'!C55="NG detected",'VITA Index summary'!D55&lt;0.2),"Indeterminate",'VITA Index summary'!D55))</f>
        <v>N/A</v>
      </c>
      <c r="L76" s="26" t="str">
        <f>'VITA Index summary'!F55</f>
        <v>NG detected</v>
      </c>
      <c r="M76" s="56">
        <f>IF(AND('VITA Index summary'!F55="NG detected",'VITA Index summary'!G55="N/A"),"Indeterminate",IF(AND('VITA Index summary'!F55="NG detected",'VITA Index summary'!G55&lt;0.5),"Indeterminate",'VITA Index summary'!G55))</f>
        <v>11.573121933875592</v>
      </c>
      <c r="N76" s="57" t="str">
        <f>'VITA Index summary'!I55</f>
        <v>EC VALID</v>
      </c>
      <c r="O76" s="22" t="str" cm="1">
        <f t="array" ref="O76">CONCATENATE(_xlfn.IFS(N76="EC INVALID","Invalid EC, repeat test/re-extract sample",J76="CT not detected","CT not detected",K76="Indeterminate","CT detected, Indeterminate Viability",K76&gt;'VITA Index summary'!$O$8,"CT detected, Viable",K76&lt;0.2,"CT detected, Indeterminate Viability",K76&lt;='VITA Index summary'!$O$8,"CT detected, Non-viable"))</f>
        <v>CT not detected</v>
      </c>
      <c r="P76" s="22" t="str" cm="1">
        <f t="array" ref="P76">CONCATENATE(_xlfn.IFS(N76="EC INVALID","Invalid EC, repeat test/re-extract sample",L76="NG not detected","NG not detected",M76="Indeterminate", "NG detected, Indeterminate Viability", M76&gt;'VITA Index summary'!$O$7,"NG detected, Viable",M76&lt;0.5,"NG detected, Indeterminate Viability",M76&lt;='VITA Index summary'!$O$7,"NG detected, Non-viable"))</f>
        <v>NG detected, Viable</v>
      </c>
    </row>
    <row r="77" spans="2:16" x14ac:dyDescent="0.25">
      <c r="B77" s="21" t="str">
        <f>'VITA Index summary'!A56</f>
        <v>E9</v>
      </c>
      <c r="C77" s="21" t="str">
        <f>'VITA Index summary'!B56</f>
        <v>OM3-013_60 min</v>
      </c>
      <c r="D77" s="55" t="str">
        <f>IFERROR(ROUND('Cq and Delta Cq'!C53,2),"N/A")</f>
        <v>N/A</v>
      </c>
      <c r="E77" s="55" t="str">
        <f>IFERROR(ROUND('Cq and Delta Cq'!D53,2),"N/A")</f>
        <v>N/A</v>
      </c>
      <c r="F77" s="55">
        <f>IFERROR(ROUND('Cq and Delta Cq'!E53,2),"N/A")</f>
        <v>24.1</v>
      </c>
      <c r="G77" s="55">
        <f>IFERROR(ROUND('Cq and Delta Cq'!F53,2),"N/A")</f>
        <v>23.29</v>
      </c>
      <c r="H77" s="55">
        <f>IFERROR(ROUND('Cq and Delta Cq'!G53,2),"N/A")</f>
        <v>27.22</v>
      </c>
      <c r="J77" s="22" t="str">
        <f>'VITA Index summary'!C56</f>
        <v>CT not detected</v>
      </c>
      <c r="K77" s="56" t="str">
        <f>IF(AND('VITA Index summary'!C56="NG detected",'VITA Index summary'!D56="N/A"),"Indeterminate",IF(AND('VITA Index summary'!C56="NG detected",'VITA Index summary'!D56&lt;0.2),"Indeterminate",'VITA Index summary'!D56))</f>
        <v>N/A</v>
      </c>
      <c r="L77" s="26" t="str">
        <f>'VITA Index summary'!F56</f>
        <v>NG detected</v>
      </c>
      <c r="M77" s="56">
        <f>IF(AND('VITA Index summary'!F56="NG detected",'VITA Index summary'!G56="N/A"),"Indeterminate",IF(AND('VITA Index summary'!F56="NG detected",'VITA Index summary'!G56&lt;0.5),"Indeterminate",'VITA Index summary'!G56))</f>
        <v>7.654153295501235</v>
      </c>
      <c r="N77" s="57" t="str">
        <f>'VITA Index summary'!I56</f>
        <v>EC VALID</v>
      </c>
      <c r="O77" s="22" t="str" cm="1">
        <f t="array" ref="O77">CONCATENATE(_xlfn.IFS(N77="EC INVALID","Invalid EC, repeat test/re-extract sample",J77="CT not detected","CT not detected",K77="Indeterminate","CT detected, Indeterminate Viability",K77&gt;'VITA Index summary'!$O$8,"CT detected, Viable",K77&lt;0.2,"CT detected, Indeterminate Viability",K77&lt;='VITA Index summary'!$O$8,"CT detected, Non-viable"))</f>
        <v>CT not detected</v>
      </c>
      <c r="P77" s="22" t="str" cm="1">
        <f t="array" ref="P77">CONCATENATE(_xlfn.IFS(N77="EC INVALID","Invalid EC, repeat test/re-extract sample",L77="NG not detected","NG not detected",M77="Indeterminate", "NG detected, Indeterminate Viability", M77&gt;'VITA Index summary'!$O$7,"NG detected, Viable",M77&lt;0.5,"NG detected, Indeterminate Viability",M77&lt;='VITA Index summary'!$O$7,"NG detected, Non-viable"))</f>
        <v>NG detected, Viable</v>
      </c>
    </row>
    <row r="78" spans="2:16" x14ac:dyDescent="0.25">
      <c r="B78" s="21" t="str">
        <f>'VITA Index summary'!A57</f>
        <v>E10</v>
      </c>
      <c r="C78" s="21" t="str">
        <f>'VITA Index summary'!B57</f>
        <v>OM3-013_120 min</v>
      </c>
      <c r="D78" s="55" t="str">
        <f>IFERROR(ROUND('Cq and Delta Cq'!C54,2),"N/A")</f>
        <v>N/A</v>
      </c>
      <c r="E78" s="55" t="str">
        <f>IFERROR(ROUND('Cq and Delta Cq'!D54,2),"N/A")</f>
        <v>N/A</v>
      </c>
      <c r="F78" s="55">
        <f>IFERROR(ROUND('Cq and Delta Cq'!E54,2),"N/A")</f>
        <v>23.03</v>
      </c>
      <c r="G78" s="55">
        <f>IFERROR(ROUND('Cq and Delta Cq'!F54,2),"N/A")</f>
        <v>20.75</v>
      </c>
      <c r="H78" s="55">
        <f>IFERROR(ROUND('Cq and Delta Cq'!G54,2),"N/A")</f>
        <v>25.43</v>
      </c>
      <c r="J78" s="22" t="str">
        <f>'VITA Index summary'!C57</f>
        <v>CT not detected</v>
      </c>
      <c r="K78" s="56" t="str">
        <f>IF(AND('VITA Index summary'!C57="NG detected",'VITA Index summary'!D57="N/A"),"Indeterminate",IF(AND('VITA Index summary'!C57="NG detected",'VITA Index summary'!D57&lt;0.2),"Indeterminate",'VITA Index summary'!D57))</f>
        <v>N/A</v>
      </c>
      <c r="L78" s="26" t="str">
        <f>'VITA Index summary'!F57</f>
        <v>NG detected</v>
      </c>
      <c r="M78" s="56">
        <f>IF(AND('VITA Index summary'!F57="NG detected",'VITA Index summary'!G57="N/A"),"Indeterminate",IF(AND('VITA Index summary'!F57="NG detected",'VITA Index summary'!G57&lt;0.5),"Indeterminate",'VITA Index summary'!G57))</f>
        <v>12.816493875914198</v>
      </c>
      <c r="N78" s="57" t="str">
        <f>'VITA Index summary'!I57</f>
        <v>EC VALID</v>
      </c>
      <c r="O78" s="22" t="str" cm="1">
        <f t="array" ref="O78">CONCATENATE(_xlfn.IFS(N78="EC INVALID","Invalid EC, repeat test/re-extract sample",J78="CT not detected","CT not detected",K78="Indeterminate","CT detected, Indeterminate Viability",K78&gt;'VITA Index summary'!$O$8,"CT detected, Viable",K78&lt;0.2,"CT detected, Indeterminate Viability",K78&lt;='VITA Index summary'!$O$8,"CT detected, Non-viable"))</f>
        <v>CT not detected</v>
      </c>
      <c r="P78" s="22" t="str" cm="1">
        <f t="array" ref="P78">CONCATENATE(_xlfn.IFS(N78="EC INVALID","Invalid EC, repeat test/re-extract sample",L78="NG not detected","NG not detected",M78="Indeterminate", "NG detected, Indeterminate Viability", M78&gt;'VITA Index summary'!$O$7,"NG detected, Viable",M78&lt;0.5,"NG detected, Indeterminate Viability",M78&lt;='VITA Index summary'!$O$7,"NG detected, Non-viable"))</f>
        <v>NG detected, Viable</v>
      </c>
    </row>
    <row r="79" spans="2:16" x14ac:dyDescent="0.25">
      <c r="B79" s="21" t="str">
        <f>'VITA Index summary'!A58</f>
        <v>F1</v>
      </c>
      <c r="C79" s="21" t="str">
        <f>'VITA Index summary'!B58</f>
        <v>OM3-006_0 min</v>
      </c>
      <c r="D79" s="55" t="str">
        <f>IFERROR(ROUND('Cq and Delta Cq'!C55,2),"N/A")</f>
        <v>N/A</v>
      </c>
      <c r="E79" s="55" t="str">
        <f>IFERROR(ROUND('Cq and Delta Cq'!D55,2),"N/A")</f>
        <v>N/A</v>
      </c>
      <c r="F79" s="55">
        <f>IFERROR(ROUND('Cq and Delta Cq'!E55,2),"N/A")</f>
        <v>24.53</v>
      </c>
      <c r="G79" s="55">
        <f>IFERROR(ROUND('Cq and Delta Cq'!F55,2),"N/A")</f>
        <v>25.1</v>
      </c>
      <c r="H79" s="55">
        <f>IFERROR(ROUND('Cq and Delta Cq'!G55,2),"N/A")</f>
        <v>27.67</v>
      </c>
      <c r="J79" s="22" t="str">
        <f>'VITA Index summary'!C58</f>
        <v>CT not detected</v>
      </c>
      <c r="K79" s="56" t="str">
        <f>IF(AND('VITA Index summary'!C58="NG detected",'VITA Index summary'!D58="N/A"),"Indeterminate",IF(AND('VITA Index summary'!C58="NG detected",'VITA Index summary'!D58&lt;0.2),"Indeterminate",'VITA Index summary'!D58))</f>
        <v>N/A</v>
      </c>
      <c r="L79" s="26" t="str">
        <f>'VITA Index summary'!F58</f>
        <v>NG detected</v>
      </c>
      <c r="M79" s="56">
        <f>IF(AND('VITA Index summary'!F58="NG detected",'VITA Index summary'!G58="N/A"),"Indeterminate",IF(AND('VITA Index summary'!F58="NG detected",'VITA Index summary'!G58&lt;0.5),"Indeterminate",'VITA Index summary'!G58))</f>
        <v>2.9639488653076276</v>
      </c>
      <c r="N79" s="57" t="str">
        <f>'VITA Index summary'!I58</f>
        <v>EC VALID</v>
      </c>
      <c r="O79" s="22" t="str" cm="1">
        <f t="array" ref="O79">CONCATENATE(_xlfn.IFS(N79="EC INVALID","Invalid EC, repeat test/re-extract sample",J79="CT not detected","CT not detected",K79="Indeterminate","CT detected, Indeterminate Viability",K79&gt;'VITA Index summary'!$O$8,"CT detected, Viable",K79&lt;0.2,"CT detected, Indeterminate Viability",K79&lt;='VITA Index summary'!$O$8,"CT detected, Non-viable"))</f>
        <v>CT not detected</v>
      </c>
      <c r="P79" s="22" t="str" cm="1">
        <f t="array" ref="P79">CONCATENATE(_xlfn.IFS(N79="EC INVALID","Invalid EC, repeat test/re-extract sample",L79="NG not detected","NG not detected",M79="Indeterminate", "NG detected, Indeterminate Viability", M79&gt;'VITA Index summary'!$O$7,"NG detected, Viable",M79&lt;0.5,"NG detected, Indeterminate Viability",M79&lt;='VITA Index summary'!$O$7,"NG detected, Non-viable"))</f>
        <v>NG detected, Viable</v>
      </c>
    </row>
    <row r="80" spans="2:16" x14ac:dyDescent="0.25">
      <c r="B80" s="21" t="str">
        <f>'VITA Index summary'!A59</f>
        <v>F2</v>
      </c>
      <c r="C80" s="21" t="str">
        <f>'VITA Index summary'!B59</f>
        <v>OM3-006_5 min</v>
      </c>
      <c r="D80" s="55" t="str">
        <f>IFERROR(ROUND('Cq and Delta Cq'!C56,2),"N/A")</f>
        <v>N/A</v>
      </c>
      <c r="E80" s="55" t="str">
        <f>IFERROR(ROUND('Cq and Delta Cq'!D56,2),"N/A")</f>
        <v>N/A</v>
      </c>
      <c r="F80" s="55">
        <f>IFERROR(ROUND('Cq and Delta Cq'!E56,2),"N/A")</f>
        <v>26.42</v>
      </c>
      <c r="G80" s="55">
        <f>IFERROR(ROUND('Cq and Delta Cq'!F56,2),"N/A")</f>
        <v>26.81</v>
      </c>
      <c r="H80" s="55">
        <f>IFERROR(ROUND('Cq and Delta Cq'!G56,2),"N/A")</f>
        <v>28.97</v>
      </c>
      <c r="J80" s="22" t="str">
        <f>'VITA Index summary'!C59</f>
        <v>CT not detected</v>
      </c>
      <c r="K80" s="56" t="str">
        <f>IF(AND('VITA Index summary'!C59="NG detected",'VITA Index summary'!D59="N/A"),"Indeterminate",IF(AND('VITA Index summary'!C59="NG detected",'VITA Index summary'!D59&lt;0.2),"Indeterminate",'VITA Index summary'!D59))</f>
        <v>N/A</v>
      </c>
      <c r="L80" s="26" t="str">
        <f>'VITA Index summary'!F59</f>
        <v>NG detected</v>
      </c>
      <c r="M80" s="56">
        <f>IF(AND('VITA Index summary'!F59="NG detected",'VITA Index summary'!G59="N/A"),"Indeterminate",IF(AND('VITA Index summary'!F59="NG detected",'VITA Index summary'!G59&lt;0.5),"Indeterminate",'VITA Index summary'!G59))</f>
        <v>2.2412473270077551</v>
      </c>
      <c r="N80" s="57" t="str">
        <f>'VITA Index summary'!I59</f>
        <v>EC VALID</v>
      </c>
      <c r="O80" s="22" t="str" cm="1">
        <f t="array" ref="O80">CONCATENATE(_xlfn.IFS(N80="EC INVALID","Invalid EC, repeat test/re-extract sample",J80="CT not detected","CT not detected",K80="Indeterminate","CT detected, Indeterminate Viability",K80&gt;'VITA Index summary'!$O$8,"CT detected, Viable",K80&lt;0.2,"CT detected, Indeterminate Viability",K80&lt;='VITA Index summary'!$O$8,"CT detected, Non-viable"))</f>
        <v>CT not detected</v>
      </c>
      <c r="P80" s="22" t="str" cm="1">
        <f t="array" ref="P80">CONCATENATE(_xlfn.IFS(N80="EC INVALID","Invalid EC, repeat test/re-extract sample",L80="NG not detected","NG not detected",M80="Indeterminate", "NG detected, Indeterminate Viability", M80&gt;'VITA Index summary'!$O$7,"NG detected, Viable",M80&lt;0.5,"NG detected, Indeterminate Viability",M80&lt;='VITA Index summary'!$O$7,"NG detected, Non-viable"))</f>
        <v>NG detected, Viable</v>
      </c>
    </row>
    <row r="81" spans="2:16" x14ac:dyDescent="0.25">
      <c r="B81" s="21" t="str">
        <f>'VITA Index summary'!A60</f>
        <v>F3</v>
      </c>
      <c r="C81" s="21" t="str">
        <f>'VITA Index summary'!B60</f>
        <v>OM3-006_30 min</v>
      </c>
      <c r="D81" s="55" t="str">
        <f>IFERROR(ROUND('Cq and Delta Cq'!C57,2),"N/A")</f>
        <v>N/A</v>
      </c>
      <c r="E81" s="55" t="str">
        <f>IFERROR(ROUND('Cq and Delta Cq'!D57,2),"N/A")</f>
        <v>N/A</v>
      </c>
      <c r="F81" s="55">
        <f>IFERROR(ROUND('Cq and Delta Cq'!E57,2),"N/A")</f>
        <v>24.33</v>
      </c>
      <c r="G81" s="55">
        <f>IFERROR(ROUND('Cq and Delta Cq'!F57,2),"N/A")</f>
        <v>25.07</v>
      </c>
      <c r="H81" s="55">
        <f>IFERROR(ROUND('Cq and Delta Cq'!G57,2),"N/A")</f>
        <v>27.34</v>
      </c>
      <c r="J81" s="22" t="str">
        <f>'VITA Index summary'!C60</f>
        <v>CT not detected</v>
      </c>
      <c r="K81" s="56" t="str">
        <f>IF(AND('VITA Index summary'!C60="NG detected",'VITA Index summary'!D60="N/A"),"Indeterminate",IF(AND('VITA Index summary'!C60="NG detected",'VITA Index summary'!D60&lt;0.2),"Indeterminate",'VITA Index summary'!D60))</f>
        <v>N/A</v>
      </c>
      <c r="L81" s="26" t="str">
        <f>'VITA Index summary'!F60</f>
        <v>NG detected</v>
      </c>
      <c r="M81" s="56">
        <f>IF(AND('VITA Index summary'!F60="NG detected",'VITA Index summary'!G60="N/A"),"Indeterminate",IF(AND('VITA Index summary'!F60="NG detected",'VITA Index summary'!G60&lt;0.5),"Indeterminate",'VITA Index summary'!G60))</f>
        <v>2.407061890526788</v>
      </c>
      <c r="N81" s="57" t="str">
        <f>'VITA Index summary'!I60</f>
        <v>EC VALID</v>
      </c>
      <c r="O81" s="22" t="str" cm="1">
        <f t="array" ref="O81">CONCATENATE(_xlfn.IFS(N81="EC INVALID","Invalid EC, repeat test/re-extract sample",J81="CT not detected","CT not detected",K81="Indeterminate","CT detected, Indeterminate Viability",K81&gt;'VITA Index summary'!$O$8,"CT detected, Viable",K81&lt;0.2,"CT detected, Indeterminate Viability",K81&lt;='VITA Index summary'!$O$8,"CT detected, Non-viable"))</f>
        <v>CT not detected</v>
      </c>
      <c r="P81" s="22" t="str" cm="1">
        <f t="array" ref="P81">CONCATENATE(_xlfn.IFS(N81="EC INVALID","Invalid EC, repeat test/re-extract sample",L81="NG not detected","NG not detected",M81="Indeterminate", "NG detected, Indeterminate Viability", M81&gt;'VITA Index summary'!$O$7,"NG detected, Viable",M81&lt;0.5,"NG detected, Indeterminate Viability",M81&lt;='VITA Index summary'!$O$7,"NG detected, Non-viable"))</f>
        <v>NG detected, Viable</v>
      </c>
    </row>
    <row r="82" spans="2:16" x14ac:dyDescent="0.25">
      <c r="B82" s="21" t="str">
        <f>'VITA Index summary'!A61</f>
        <v>F4</v>
      </c>
      <c r="C82" s="21" t="str">
        <f>'VITA Index summary'!B61</f>
        <v>OM3-006_60 min</v>
      </c>
      <c r="D82" s="55" t="str">
        <f>IFERROR(ROUND('Cq and Delta Cq'!C58,2),"N/A")</f>
        <v>N/A</v>
      </c>
      <c r="E82" s="55" t="str">
        <f>IFERROR(ROUND('Cq and Delta Cq'!D58,2),"N/A")</f>
        <v>N/A</v>
      </c>
      <c r="F82" s="55">
        <f>IFERROR(ROUND('Cq and Delta Cq'!E58,2),"N/A")</f>
        <v>24.5</v>
      </c>
      <c r="G82" s="55">
        <f>IFERROR(ROUND('Cq and Delta Cq'!F58,2),"N/A")</f>
        <v>24.33</v>
      </c>
      <c r="H82" s="55">
        <f>IFERROR(ROUND('Cq and Delta Cq'!G58,2),"N/A")</f>
        <v>27.21</v>
      </c>
      <c r="J82" s="22" t="str">
        <f>'VITA Index summary'!C61</f>
        <v>CT not detected</v>
      </c>
      <c r="K82" s="56" t="str">
        <f>IF(AND('VITA Index summary'!C61="NG detected",'VITA Index summary'!D61="N/A"),"Indeterminate",IF(AND('VITA Index summary'!C61="NG detected",'VITA Index summary'!D61&lt;0.2),"Indeterminate",'VITA Index summary'!D61))</f>
        <v>N/A</v>
      </c>
      <c r="L82" s="26" t="str">
        <f>'VITA Index summary'!F61</f>
        <v>NG detected</v>
      </c>
      <c r="M82" s="56">
        <f>IF(AND('VITA Index summary'!F61="NG detected",'VITA Index summary'!G61="N/A"),"Indeterminate",IF(AND('VITA Index summary'!F61="NG detected",'VITA Index summary'!G61&lt;0.5),"Indeterminate",'VITA Index summary'!G61))</f>
        <v>3.6609440975064946</v>
      </c>
      <c r="N82" s="57" t="str">
        <f>'VITA Index summary'!I61</f>
        <v>EC VALID</v>
      </c>
      <c r="O82" s="22" t="str" cm="1">
        <f t="array" ref="O82">CONCATENATE(_xlfn.IFS(N82="EC INVALID","Invalid EC, repeat test/re-extract sample",J82="CT not detected","CT not detected",K82="Indeterminate","CT detected, Indeterminate Viability",K82&gt;'VITA Index summary'!$O$8,"CT detected, Viable",K82&lt;0.2,"CT detected, Indeterminate Viability",K82&lt;='VITA Index summary'!$O$8,"CT detected, Non-viable"))</f>
        <v>CT not detected</v>
      </c>
      <c r="P82" s="22" t="str" cm="1">
        <f t="array" ref="P82">CONCATENATE(_xlfn.IFS(N82="EC INVALID","Invalid EC, repeat test/re-extract sample",L82="NG not detected","NG not detected",M82="Indeterminate", "NG detected, Indeterminate Viability", M82&gt;'VITA Index summary'!$O$7,"NG detected, Viable",M82&lt;0.5,"NG detected, Indeterminate Viability",M82&lt;='VITA Index summary'!$O$7,"NG detected, Non-viable"))</f>
        <v>NG detected, Viable</v>
      </c>
    </row>
    <row r="83" spans="2:16" x14ac:dyDescent="0.25">
      <c r="B83" s="21" t="str">
        <f>'VITA Index summary'!A62</f>
        <v>F5</v>
      </c>
      <c r="C83" s="21" t="str">
        <f>'VITA Index summary'!B62</f>
        <v>OM3-006_120 min</v>
      </c>
      <c r="D83" s="55" t="str">
        <f>IFERROR(ROUND('Cq and Delta Cq'!C59,2),"N/A")</f>
        <v>N/A</v>
      </c>
      <c r="E83" s="55" t="str">
        <f>IFERROR(ROUND('Cq and Delta Cq'!D59,2),"N/A")</f>
        <v>N/A</v>
      </c>
      <c r="F83" s="55">
        <f>IFERROR(ROUND('Cq and Delta Cq'!E59,2),"N/A")</f>
        <v>24.72</v>
      </c>
      <c r="G83" s="55">
        <f>IFERROR(ROUND('Cq and Delta Cq'!F59,2),"N/A")</f>
        <v>24.6</v>
      </c>
      <c r="H83" s="55">
        <f>IFERROR(ROUND('Cq and Delta Cq'!G59,2),"N/A")</f>
        <v>27.45</v>
      </c>
      <c r="J83" s="22" t="str">
        <f>'VITA Index summary'!C62</f>
        <v>CT not detected</v>
      </c>
      <c r="K83" s="56" t="str">
        <f>IF(AND('VITA Index summary'!C62="NG detected",'VITA Index summary'!D62="N/A"),"Indeterminate",IF(AND('VITA Index summary'!C62="NG detected",'VITA Index summary'!D62&lt;0.2),"Indeterminate",'VITA Index summary'!D62))</f>
        <v>N/A</v>
      </c>
      <c r="L83" s="26" t="str">
        <f>'VITA Index summary'!F62</f>
        <v>NG detected</v>
      </c>
      <c r="M83" s="56">
        <f>IF(AND('VITA Index summary'!F62="NG detected",'VITA Index summary'!G62="N/A"),"Indeterminate",IF(AND('VITA Index summary'!F62="NG detected",'VITA Index summary'!G62&lt;0.5),"Indeterminate",'VITA Index summary'!G62))</f>
        <v>3.6063694950638268</v>
      </c>
      <c r="N83" s="57" t="str">
        <f>'VITA Index summary'!I62</f>
        <v>EC VALID</v>
      </c>
      <c r="O83" s="22" t="str" cm="1">
        <f t="array" ref="O83">CONCATENATE(_xlfn.IFS(N83="EC INVALID","Invalid EC, repeat test/re-extract sample",J83="CT not detected","CT not detected",K83="Indeterminate","CT detected, Indeterminate Viability",K83&gt;'VITA Index summary'!$O$8,"CT detected, Viable",K83&lt;0.2,"CT detected, Indeterminate Viability",K83&lt;='VITA Index summary'!$O$8,"CT detected, Non-viable"))</f>
        <v>CT not detected</v>
      </c>
      <c r="P83" s="22" t="str" cm="1">
        <f t="array" ref="P83">CONCATENATE(_xlfn.IFS(N83="EC INVALID","Invalid EC, repeat test/re-extract sample",L83="NG not detected","NG not detected",M83="Indeterminate", "NG detected, Indeterminate Viability", M83&gt;'VITA Index summary'!$O$7,"NG detected, Viable",M83&lt;0.5,"NG detected, Indeterminate Viability",M83&lt;='VITA Index summary'!$O$7,"NG detected, Non-viable"))</f>
        <v>NG detected, Viable</v>
      </c>
    </row>
    <row r="84" spans="2:16" x14ac:dyDescent="0.25">
      <c r="B84" s="21" t="str">
        <f>'VITA Index summary'!A63</f>
        <v>F6</v>
      </c>
      <c r="C84" s="21" t="str">
        <f>'VITA Index summary'!B63</f>
        <v>OM3-014_0 min</v>
      </c>
      <c r="D84" s="55" t="str">
        <f>IFERROR(ROUND('Cq and Delta Cq'!C60,2),"N/A")</f>
        <v>N/A</v>
      </c>
      <c r="E84" s="55" t="str">
        <f>IFERROR(ROUND('Cq and Delta Cq'!D60,2),"N/A")</f>
        <v>N/A</v>
      </c>
      <c r="F84" s="55">
        <f>IFERROR(ROUND('Cq and Delta Cq'!E60,2),"N/A")</f>
        <v>24.41</v>
      </c>
      <c r="G84" s="55" t="str">
        <f>IFERROR(ROUND('Cq and Delta Cq'!F60,2),"N/A")</f>
        <v>N/A</v>
      </c>
      <c r="H84" s="55" t="str">
        <f>IFERROR(ROUND('Cq and Delta Cq'!G60,2),"N/A")</f>
        <v>N/A</v>
      </c>
      <c r="J84" s="22" t="str">
        <f>'VITA Index summary'!C63</f>
        <v>CT not detected</v>
      </c>
      <c r="K84" s="56" t="str">
        <f>IF(AND('VITA Index summary'!C63="NG detected",'VITA Index summary'!D63="N/A"),"Indeterminate",IF(AND('VITA Index summary'!C63="NG detected",'VITA Index summary'!D63&lt;0.2),"Indeterminate",'VITA Index summary'!D63))</f>
        <v>N/A</v>
      </c>
      <c r="L84" s="26" t="str">
        <f>'VITA Index summary'!F63</f>
        <v>NG not detected</v>
      </c>
      <c r="M84" s="56" t="str">
        <f>IF(AND('VITA Index summary'!F63="NG detected",'VITA Index summary'!G63="N/A"),"Indeterminate",IF(AND('VITA Index summary'!F63="NG detected",'VITA Index summary'!G63&lt;0.5),"Indeterminate",'VITA Index summary'!G63))</f>
        <v>N/A</v>
      </c>
      <c r="N84" s="57" t="str">
        <f>'VITA Index summary'!I63</f>
        <v>EC VALID</v>
      </c>
      <c r="O84" s="22" t="str" cm="1">
        <f t="array" ref="O84">CONCATENATE(_xlfn.IFS(N84="EC INVALID","Invalid EC, repeat test/re-extract sample",J84="CT not detected","CT not detected",K84="Indeterminate","CT detected, Indeterminate Viability",K84&gt;'VITA Index summary'!$O$8,"CT detected, Viable",K84&lt;0.2,"CT detected, Indeterminate Viability",K84&lt;='VITA Index summary'!$O$8,"CT detected, Non-viable"))</f>
        <v>CT not detected</v>
      </c>
      <c r="P84" s="22" t="str" cm="1">
        <f t="array" ref="P84">CONCATENATE(_xlfn.IFS(N84="EC INVALID","Invalid EC, repeat test/re-extract sample",L84="NG not detected","NG not detected",M84="Indeterminate", "NG detected, Indeterminate Viability", M84&gt;'VITA Index summary'!$O$7,"NG detected, Viable",M84&lt;0.5,"NG detected, Indeterminate Viability",M84&lt;='VITA Index summary'!$O$7,"NG detected, Non-viable"))</f>
        <v>NG not detected</v>
      </c>
    </row>
    <row r="85" spans="2:16" x14ac:dyDescent="0.25">
      <c r="B85" s="21" t="str">
        <f>'VITA Index summary'!A64</f>
        <v>F7</v>
      </c>
      <c r="C85" s="21" t="str">
        <f>'VITA Index summary'!B64</f>
        <v>OM3-014_5 min</v>
      </c>
      <c r="D85" s="55" t="str">
        <f>IFERROR(ROUND('Cq and Delta Cq'!C61,2),"N/A")</f>
        <v>N/A</v>
      </c>
      <c r="E85" s="55" t="str">
        <f>IFERROR(ROUND('Cq and Delta Cq'!D61,2),"N/A")</f>
        <v>N/A</v>
      </c>
      <c r="F85" s="55">
        <f>IFERROR(ROUND('Cq and Delta Cq'!E61,2),"N/A")</f>
        <v>25.94</v>
      </c>
      <c r="G85" s="55">
        <f>IFERROR(ROUND('Cq and Delta Cq'!F61,2),"N/A")</f>
        <v>34.29</v>
      </c>
      <c r="H85" s="55">
        <f>IFERROR(ROUND('Cq and Delta Cq'!G61,2),"N/A")</f>
        <v>35.409999999999997</v>
      </c>
      <c r="J85" s="22" t="str">
        <f>'VITA Index summary'!C64</f>
        <v>CT not detected</v>
      </c>
      <c r="K85" s="56" t="str">
        <f>IF(AND('VITA Index summary'!C64="NG detected",'VITA Index summary'!D64="N/A"),"Indeterminate",IF(AND('VITA Index summary'!C64="NG detected",'VITA Index summary'!D64&lt;0.2),"Indeterminate",'VITA Index summary'!D64))</f>
        <v>N/A</v>
      </c>
      <c r="L85" s="26" t="str">
        <f>'VITA Index summary'!F64</f>
        <v>NG not detected</v>
      </c>
      <c r="M85" s="56" t="str">
        <f>IF(AND('VITA Index summary'!F64="NG detected",'VITA Index summary'!G64="N/A"),"Indeterminate",IF(AND('VITA Index summary'!F64="NG detected",'VITA Index summary'!G64&lt;0.5),"Indeterminate",'VITA Index summary'!G64))</f>
        <v>N/A</v>
      </c>
      <c r="N85" s="57" t="str">
        <f>'VITA Index summary'!I64</f>
        <v>EC VALID</v>
      </c>
      <c r="O85" s="22" t="str" cm="1">
        <f t="array" ref="O85">CONCATENATE(_xlfn.IFS(N85="EC INVALID","Invalid EC, repeat test/re-extract sample",J85="CT not detected","CT not detected",K85="Indeterminate","CT detected, Indeterminate Viability",K85&gt;'VITA Index summary'!$O$8,"CT detected, Viable",K85&lt;0.2,"CT detected, Indeterminate Viability",K85&lt;='VITA Index summary'!$O$8,"CT detected, Non-viable"))</f>
        <v>CT not detected</v>
      </c>
      <c r="P85" s="22" t="str" cm="1">
        <f t="array" ref="P85">CONCATENATE(_xlfn.IFS(N85="EC INVALID","Invalid EC, repeat test/re-extract sample",L85="NG not detected","NG not detected",M85="Indeterminate", "NG detected, Indeterminate Viability", M85&gt;'VITA Index summary'!$O$7,"NG detected, Viable",M85&lt;0.5,"NG detected, Indeterminate Viability",M85&lt;='VITA Index summary'!$O$7,"NG detected, Non-viable"))</f>
        <v>NG not detected</v>
      </c>
    </row>
    <row r="86" spans="2:16" x14ac:dyDescent="0.25">
      <c r="B86" s="21" t="str">
        <f>'VITA Index summary'!A65</f>
        <v>F8</v>
      </c>
      <c r="C86" s="21" t="str">
        <f>'VITA Index summary'!B65</f>
        <v>OM3-014_30 min</v>
      </c>
      <c r="D86" s="55" t="str">
        <f>IFERROR(ROUND('Cq and Delta Cq'!C62,2),"N/A")</f>
        <v>N/A</v>
      </c>
      <c r="E86" s="55" t="str">
        <f>IFERROR(ROUND('Cq and Delta Cq'!D62,2),"N/A")</f>
        <v>N/A</v>
      </c>
      <c r="F86" s="55">
        <f>IFERROR(ROUND('Cq and Delta Cq'!E62,2),"N/A")</f>
        <v>27.01</v>
      </c>
      <c r="G86" s="55" t="str">
        <f>IFERROR(ROUND('Cq and Delta Cq'!F62,2),"N/A")</f>
        <v>N/A</v>
      </c>
      <c r="H86" s="55" t="str">
        <f>IFERROR(ROUND('Cq and Delta Cq'!G62,2),"N/A")</f>
        <v>N/A</v>
      </c>
      <c r="J86" s="22" t="str">
        <f>'VITA Index summary'!C65</f>
        <v>CT not detected</v>
      </c>
      <c r="K86" s="56" t="str">
        <f>IF(AND('VITA Index summary'!C65="NG detected",'VITA Index summary'!D65="N/A"),"Indeterminate",IF(AND('VITA Index summary'!C65="NG detected",'VITA Index summary'!D65&lt;0.2),"Indeterminate",'VITA Index summary'!D65))</f>
        <v>N/A</v>
      </c>
      <c r="L86" s="26" t="str">
        <f>'VITA Index summary'!F65</f>
        <v>NG not detected</v>
      </c>
      <c r="M86" s="56" t="str">
        <f>IF(AND('VITA Index summary'!F65="NG detected",'VITA Index summary'!G65="N/A"),"Indeterminate",IF(AND('VITA Index summary'!F65="NG detected",'VITA Index summary'!G65&lt;0.5),"Indeterminate",'VITA Index summary'!G65))</f>
        <v>N/A</v>
      </c>
      <c r="N86" s="57" t="str">
        <f>'VITA Index summary'!I65</f>
        <v>EC VALID</v>
      </c>
      <c r="O86" s="22" t="str" cm="1">
        <f t="array" ref="O86">CONCATENATE(_xlfn.IFS(N86="EC INVALID","Invalid EC, repeat test/re-extract sample",J86="CT not detected","CT not detected",K86="Indeterminate","CT detected, Indeterminate Viability",K86&gt;'VITA Index summary'!$O$8,"CT detected, Viable",K86&lt;0.2,"CT detected, Indeterminate Viability",K86&lt;='VITA Index summary'!$O$8,"CT detected, Non-viable"))</f>
        <v>CT not detected</v>
      </c>
      <c r="P86" s="22" t="str" cm="1">
        <f t="array" ref="P86">CONCATENATE(_xlfn.IFS(N86="EC INVALID","Invalid EC, repeat test/re-extract sample",L86="NG not detected","NG not detected",M86="Indeterminate", "NG detected, Indeterminate Viability", M86&gt;'VITA Index summary'!$O$7,"NG detected, Viable",M86&lt;0.5,"NG detected, Indeterminate Viability",M86&lt;='VITA Index summary'!$O$7,"NG detected, Non-viable"))</f>
        <v>NG not detected</v>
      </c>
    </row>
    <row r="87" spans="2:16" x14ac:dyDescent="0.25">
      <c r="B87" s="21" t="str">
        <f>'VITA Index summary'!A66</f>
        <v>F9</v>
      </c>
      <c r="C87" s="21" t="str">
        <f>'VITA Index summary'!B66</f>
        <v>OM3-014_60 min</v>
      </c>
      <c r="D87" s="55" t="str">
        <f>IFERROR(ROUND('Cq and Delta Cq'!C63,2),"N/A")</f>
        <v>N/A</v>
      </c>
      <c r="E87" s="55" t="str">
        <f>IFERROR(ROUND('Cq and Delta Cq'!D63,2),"N/A")</f>
        <v>N/A</v>
      </c>
      <c r="F87" s="55">
        <f>IFERROR(ROUND('Cq and Delta Cq'!E63,2),"N/A")</f>
        <v>25.19</v>
      </c>
      <c r="G87" s="55">
        <f>IFERROR(ROUND('Cq and Delta Cq'!F63,2),"N/A")</f>
        <v>34.89</v>
      </c>
      <c r="H87" s="55">
        <f>IFERROR(ROUND('Cq and Delta Cq'!G63,2),"N/A")</f>
        <v>38.33</v>
      </c>
      <c r="J87" s="22" t="str">
        <f>'VITA Index summary'!C66</f>
        <v>CT not detected</v>
      </c>
      <c r="K87" s="56" t="str">
        <f>IF(AND('VITA Index summary'!C66="NG detected",'VITA Index summary'!D66="N/A"),"Indeterminate",IF(AND('VITA Index summary'!C66="NG detected",'VITA Index summary'!D66&lt;0.2),"Indeterminate",'VITA Index summary'!D66))</f>
        <v>N/A</v>
      </c>
      <c r="L87" s="26" t="str">
        <f>'VITA Index summary'!F66</f>
        <v>NG not detected</v>
      </c>
      <c r="M87" s="56" t="str">
        <f>IF(AND('VITA Index summary'!F66="NG detected",'VITA Index summary'!G66="N/A"),"Indeterminate",IF(AND('VITA Index summary'!F66="NG detected",'VITA Index summary'!G66&lt;0.5),"Indeterminate",'VITA Index summary'!G66))</f>
        <v>N/A</v>
      </c>
      <c r="N87" s="57" t="str">
        <f>'VITA Index summary'!I66</f>
        <v>EC VALID</v>
      </c>
      <c r="O87" s="22" t="str" cm="1">
        <f t="array" ref="O87">CONCATENATE(_xlfn.IFS(N87="EC INVALID","Invalid EC, repeat test/re-extract sample",J87="CT not detected","CT not detected",K87="Indeterminate","CT detected, Indeterminate Viability",K87&gt;'VITA Index summary'!$O$8,"CT detected, Viable",K87&lt;0.2,"CT detected, Indeterminate Viability",K87&lt;='VITA Index summary'!$O$8,"CT detected, Non-viable"))</f>
        <v>CT not detected</v>
      </c>
      <c r="P87" s="22" t="str" cm="1">
        <f t="array" ref="P87">CONCATENATE(_xlfn.IFS(N87="EC INVALID","Invalid EC, repeat test/re-extract sample",L87="NG not detected","NG not detected",M87="Indeterminate", "NG detected, Indeterminate Viability", M87&gt;'VITA Index summary'!$O$7,"NG detected, Viable",M87&lt;0.5,"NG detected, Indeterminate Viability",M87&lt;='VITA Index summary'!$O$7,"NG detected, Non-viable"))</f>
        <v>NG not detected</v>
      </c>
    </row>
    <row r="88" spans="2:16" x14ac:dyDescent="0.25">
      <c r="B88" s="21" t="str">
        <f>'VITA Index summary'!A67</f>
        <v>F10</v>
      </c>
      <c r="C88" s="21" t="str">
        <f>'VITA Index summary'!B67</f>
        <v>OM3-014_120 min</v>
      </c>
      <c r="D88" s="55" t="str">
        <f>IFERROR(ROUND('Cq and Delta Cq'!C64,2),"N/A")</f>
        <v>N/A</v>
      </c>
      <c r="E88" s="55" t="str">
        <f>IFERROR(ROUND('Cq and Delta Cq'!D64,2),"N/A")</f>
        <v>N/A</v>
      </c>
      <c r="F88" s="55">
        <f>IFERROR(ROUND('Cq and Delta Cq'!E64,2),"N/A")</f>
        <v>26.59</v>
      </c>
      <c r="G88" s="55">
        <f>IFERROR(ROUND('Cq and Delta Cq'!F64,2),"N/A")</f>
        <v>40.729999999999997</v>
      </c>
      <c r="H88" s="55" t="str">
        <f>IFERROR(ROUND('Cq and Delta Cq'!G64,2),"N/A")</f>
        <v>N/A</v>
      </c>
      <c r="J88" s="22" t="str">
        <f>'VITA Index summary'!C67</f>
        <v>CT not detected</v>
      </c>
      <c r="K88" s="56" t="str">
        <f>IF(AND('VITA Index summary'!C67="NG detected",'VITA Index summary'!D67="N/A"),"Indeterminate",IF(AND('VITA Index summary'!C67="NG detected",'VITA Index summary'!D67&lt;0.2),"Indeterminate",'VITA Index summary'!D67))</f>
        <v>N/A</v>
      </c>
      <c r="L88" s="26" t="str">
        <f>'VITA Index summary'!F67</f>
        <v>NG not detected</v>
      </c>
      <c r="M88" s="56" t="str">
        <f>IF(AND('VITA Index summary'!F67="NG detected",'VITA Index summary'!G67="N/A"),"Indeterminate",IF(AND('VITA Index summary'!F67="NG detected",'VITA Index summary'!G67&lt;0.5),"Indeterminate",'VITA Index summary'!G67))</f>
        <v>N/A</v>
      </c>
      <c r="N88" s="57" t="str">
        <f>'VITA Index summary'!I67</f>
        <v>EC VALID</v>
      </c>
      <c r="O88" s="22" t="str" cm="1">
        <f t="array" ref="O88">CONCATENATE(_xlfn.IFS(N88="EC INVALID","Invalid EC, repeat test/re-extract sample",J88="CT not detected","CT not detected",K88="Indeterminate","CT detected, Indeterminate Viability",K88&gt;'VITA Index summary'!$O$8,"CT detected, Viable",K88&lt;0.2,"CT detected, Indeterminate Viability",K88&lt;='VITA Index summary'!$O$8,"CT detected, Non-viable"))</f>
        <v>CT not detected</v>
      </c>
      <c r="P88" s="22" t="str" cm="1">
        <f t="array" ref="P88">CONCATENATE(_xlfn.IFS(N88="EC INVALID","Invalid EC, repeat test/re-extract sample",L88="NG not detected","NG not detected",M88="Indeterminate", "NG detected, Indeterminate Viability", M88&gt;'VITA Index summary'!$O$7,"NG detected, Viable",M88&lt;0.5,"NG detected, Indeterminate Viability",M88&lt;='VITA Index summary'!$O$7,"NG detected, Non-viable"))</f>
        <v>NG not detected</v>
      </c>
    </row>
    <row r="89" spans="2:16" x14ac:dyDescent="0.25">
      <c r="B89" s="21" t="str">
        <f>'VITA Index summary'!A68</f>
        <v>G1</v>
      </c>
      <c r="C89" s="21" t="str">
        <f>'VITA Index summary'!B68</f>
        <v>OM3-007_0 min</v>
      </c>
      <c r="D89" s="55" t="str">
        <f>IFERROR(ROUND('Cq and Delta Cq'!C65,2),"N/A")</f>
        <v>N/A</v>
      </c>
      <c r="E89" s="55" t="str">
        <f>IFERROR(ROUND('Cq and Delta Cq'!D65,2),"N/A")</f>
        <v>N/A</v>
      </c>
      <c r="F89" s="55">
        <f>IFERROR(ROUND('Cq and Delta Cq'!E65,2),"N/A")</f>
        <v>24.55</v>
      </c>
      <c r="G89" s="55">
        <f>IFERROR(ROUND('Cq and Delta Cq'!F65,2),"N/A")</f>
        <v>29.13</v>
      </c>
      <c r="H89" s="55">
        <f>IFERROR(ROUND('Cq and Delta Cq'!G65,2),"N/A")</f>
        <v>31</v>
      </c>
      <c r="J89" s="22" t="str">
        <f>'VITA Index summary'!C68</f>
        <v>CT not detected</v>
      </c>
      <c r="K89" s="56" t="str">
        <f>IF(AND('VITA Index summary'!C68="NG detected",'VITA Index summary'!D68="N/A"),"Indeterminate",IF(AND('VITA Index summary'!C68="NG detected",'VITA Index summary'!D68&lt;0.2),"Indeterminate",'VITA Index summary'!D68))</f>
        <v>N/A</v>
      </c>
      <c r="L89" s="26" t="str">
        <f>'VITA Index summary'!F68</f>
        <v>NG detected</v>
      </c>
      <c r="M89" s="56">
        <f>IF(AND('VITA Index summary'!F68="NG detected",'VITA Index summary'!G68="N/A"),"Indeterminate",IF(AND('VITA Index summary'!F68="NG detected",'VITA Index summary'!G68&lt;0.5),"Indeterminate",'VITA Index summary'!G68))</f>
        <v>1.8280491982003337</v>
      </c>
      <c r="N89" s="57" t="str">
        <f>'VITA Index summary'!I68</f>
        <v>EC VALID</v>
      </c>
      <c r="O89" s="22" t="str" cm="1">
        <f t="array" ref="O89">CONCATENATE(_xlfn.IFS(N89="EC INVALID","Invalid EC, repeat test/re-extract sample",J89="CT not detected","CT not detected",K89="Indeterminate","CT detected, Indeterminate Viability",K89&gt;'VITA Index summary'!$O$8,"CT detected, Viable",K89&lt;0.2,"CT detected, Indeterminate Viability",K89&lt;='VITA Index summary'!$O$8,"CT detected, Non-viable"))</f>
        <v>CT not detected</v>
      </c>
      <c r="P89" s="22" t="str" cm="1">
        <f t="array" ref="P89">CONCATENATE(_xlfn.IFS(N89="EC INVALID","Invalid EC, repeat test/re-extract sample",L89="NG not detected","NG not detected",M89="Indeterminate", "NG detected, Indeterminate Viability", M89&gt;'VITA Index summary'!$O$7,"NG detected, Viable",M89&lt;0.5,"NG detected, Indeterminate Viability",M89&lt;='VITA Index summary'!$O$7,"NG detected, Non-viable"))</f>
        <v>NG detected, Viable</v>
      </c>
    </row>
    <row r="90" spans="2:16" x14ac:dyDescent="0.25">
      <c r="B90" s="21" t="str">
        <f>'VITA Index summary'!A69</f>
        <v>G2</v>
      </c>
      <c r="C90" s="21" t="str">
        <f>'VITA Index summary'!B69</f>
        <v>OM3-007_5 min</v>
      </c>
      <c r="D90" s="55" t="str">
        <f>IFERROR(ROUND('Cq and Delta Cq'!C66,2),"N/A")</f>
        <v>N/A</v>
      </c>
      <c r="E90" s="55" t="str">
        <f>IFERROR(ROUND('Cq and Delta Cq'!D66,2),"N/A")</f>
        <v>N/A</v>
      </c>
      <c r="F90" s="55">
        <f>IFERROR(ROUND('Cq and Delta Cq'!E66,2),"N/A")</f>
        <v>25.85</v>
      </c>
      <c r="G90" s="55">
        <f>IFERROR(ROUND('Cq and Delta Cq'!F66,2),"N/A")</f>
        <v>30.16</v>
      </c>
      <c r="H90" s="55">
        <f>IFERROR(ROUND('Cq and Delta Cq'!G66,2),"N/A")</f>
        <v>32.159999999999997</v>
      </c>
      <c r="J90" s="22" t="str">
        <f>'VITA Index summary'!C69</f>
        <v>CT not detected</v>
      </c>
      <c r="K90" s="56" t="str">
        <f>IF(AND('VITA Index summary'!C69="NG detected",'VITA Index summary'!D69="N/A"),"Indeterminate",IF(AND('VITA Index summary'!C69="NG detected",'VITA Index summary'!D69&lt;0.2),"Indeterminate",'VITA Index summary'!D69))</f>
        <v>N/A</v>
      </c>
      <c r="L90" s="26" t="str">
        <f>'VITA Index summary'!F69</f>
        <v>NG detected</v>
      </c>
      <c r="M90" s="56" t="str">
        <f>IF(AND('VITA Index summary'!F69="NG detected",'VITA Index summary'!G69="N/A"),"Indeterminate",IF(AND('VITA Index summary'!F69="NG detected",'VITA Index summary'!G69&lt;0.5),"Indeterminate",'VITA Index summary'!G69))</f>
        <v>Indeterminate</v>
      </c>
      <c r="N90" s="57" t="str">
        <f>'VITA Index summary'!I69</f>
        <v>EC VALID</v>
      </c>
      <c r="O90" s="22" t="str" cm="1">
        <f t="array" ref="O90">CONCATENATE(_xlfn.IFS(N90="EC INVALID","Invalid EC, repeat test/re-extract sample",J90="CT not detected","CT not detected",K90="Indeterminate","CT detected, Indeterminate Viability",K90&gt;'VITA Index summary'!$O$8,"CT detected, Viable",K90&lt;0.2,"CT detected, Indeterminate Viability",K90&lt;='VITA Index summary'!$O$8,"CT detected, Non-viable"))</f>
        <v>CT not detected</v>
      </c>
      <c r="P90" s="22" t="str" cm="1">
        <f t="array" ref="P90">CONCATENATE(_xlfn.IFS(N90="EC INVALID","Invalid EC, repeat test/re-extract sample",L90="NG not detected","NG not detected",M90="Indeterminate", "NG detected, Indeterminate Viability", M90&gt;'VITA Index summary'!$O$7,"NG detected, Viable",M90&lt;0.5,"NG detected, Indeterminate Viability",M90&lt;='VITA Index summary'!$O$7,"NG detected, Non-viable"))</f>
        <v>NG detected, Indeterminate Viability</v>
      </c>
    </row>
    <row r="91" spans="2:16" x14ac:dyDescent="0.25">
      <c r="B91" s="21" t="str">
        <f>'VITA Index summary'!A70</f>
        <v>G3</v>
      </c>
      <c r="C91" s="21" t="str">
        <f>'VITA Index summary'!B70</f>
        <v>OM3-007_30 min</v>
      </c>
      <c r="D91" s="55" t="str">
        <f>IFERROR(ROUND('Cq and Delta Cq'!C67,2),"N/A")</f>
        <v>N/A</v>
      </c>
      <c r="E91" s="55" t="str">
        <f>IFERROR(ROUND('Cq and Delta Cq'!D67,2),"N/A")</f>
        <v>N/A</v>
      </c>
      <c r="F91" s="55">
        <f>IFERROR(ROUND('Cq and Delta Cq'!E67,2),"N/A")</f>
        <v>26.06</v>
      </c>
      <c r="G91" s="55">
        <f>IFERROR(ROUND('Cq and Delta Cq'!F67,2),"N/A")</f>
        <v>30.99</v>
      </c>
      <c r="H91" s="55">
        <f>IFERROR(ROUND('Cq and Delta Cq'!G67,2),"N/A")</f>
        <v>32.5</v>
      </c>
      <c r="J91" s="22" t="str">
        <f>'VITA Index summary'!C70</f>
        <v>CT not detected</v>
      </c>
      <c r="K91" s="56" t="str">
        <f>IF(AND('VITA Index summary'!C70="NG detected",'VITA Index summary'!D70="N/A"),"Indeterminate",IF(AND('VITA Index summary'!C70="NG detected",'VITA Index summary'!D70&lt;0.2),"Indeterminate",'VITA Index summary'!D70))</f>
        <v>N/A</v>
      </c>
      <c r="L91" s="26" t="str">
        <f>'VITA Index summary'!F70</f>
        <v>NG detected</v>
      </c>
      <c r="M91" s="56" t="str">
        <f>IF(AND('VITA Index summary'!F70="NG detected",'VITA Index summary'!G70="N/A"),"Indeterminate",IF(AND('VITA Index summary'!F70="NG detected",'VITA Index summary'!G70&lt;0.5),"Indeterminate",'VITA Index summary'!G70))</f>
        <v>Indeterminate</v>
      </c>
      <c r="N91" s="57" t="str">
        <f>'VITA Index summary'!I70</f>
        <v>EC VALID</v>
      </c>
      <c r="O91" s="22" t="str" cm="1">
        <f t="array" ref="O91">CONCATENATE(_xlfn.IFS(N91="EC INVALID","Invalid EC, repeat test/re-extract sample",J91="CT not detected","CT not detected",K91="Indeterminate","CT detected, Indeterminate Viability",K91&gt;'VITA Index summary'!$O$8,"CT detected, Viable",K91&lt;0.2,"CT detected, Indeterminate Viability",K91&lt;='VITA Index summary'!$O$8,"CT detected, Non-viable"))</f>
        <v>CT not detected</v>
      </c>
      <c r="P91" s="22" t="str" cm="1">
        <f t="array" ref="P91">CONCATENATE(_xlfn.IFS(N91="EC INVALID","Invalid EC, repeat test/re-extract sample",L91="NG not detected","NG not detected",M91="Indeterminate", "NG detected, Indeterminate Viability", M91&gt;'VITA Index summary'!$O$7,"NG detected, Viable",M91&lt;0.5,"NG detected, Indeterminate Viability",M91&lt;='VITA Index summary'!$O$7,"NG detected, Non-viable"))</f>
        <v>NG detected, Indeterminate Viability</v>
      </c>
    </row>
    <row r="92" spans="2:16" x14ac:dyDescent="0.25">
      <c r="B92" s="21" t="str">
        <f>'VITA Index summary'!A71</f>
        <v>G4</v>
      </c>
      <c r="C92" s="21" t="str">
        <f>'VITA Index summary'!B71</f>
        <v>OM3-007_60 min</v>
      </c>
      <c r="D92" s="55" t="str">
        <f>IFERROR(ROUND('Cq and Delta Cq'!C68,2),"N/A")</f>
        <v>N/A</v>
      </c>
      <c r="E92" s="55" t="str">
        <f>IFERROR(ROUND('Cq and Delta Cq'!D68,2),"N/A")</f>
        <v>N/A</v>
      </c>
      <c r="F92" s="55">
        <f>IFERROR(ROUND('Cq and Delta Cq'!E68,2),"N/A")</f>
        <v>24.69</v>
      </c>
      <c r="G92" s="55">
        <f>IFERROR(ROUND('Cq and Delta Cq'!F68,2),"N/A")</f>
        <v>28.7</v>
      </c>
      <c r="H92" s="55">
        <f>IFERROR(ROUND('Cq and Delta Cq'!G68,2),"N/A")</f>
        <v>30.72</v>
      </c>
      <c r="J92" s="22" t="str">
        <f>'VITA Index summary'!C71</f>
        <v>CT not detected</v>
      </c>
      <c r="K92" s="56" t="str">
        <f>IF(AND('VITA Index summary'!C71="NG detected",'VITA Index summary'!D71="N/A"),"Indeterminate",IF(AND('VITA Index summary'!C71="NG detected",'VITA Index summary'!D71&lt;0.2),"Indeterminate",'VITA Index summary'!D71))</f>
        <v>N/A</v>
      </c>
      <c r="L92" s="26" t="str">
        <f>'VITA Index summary'!F71</f>
        <v>NG detected</v>
      </c>
      <c r="M92" s="56">
        <f>IF(AND('VITA Index summary'!F71="NG detected",'VITA Index summary'!G71="N/A"),"Indeterminate",IF(AND('VITA Index summary'!F71="NG detected",'VITA Index summary'!G71&lt;0.5),"Indeterminate",'VITA Index summary'!G71))</f>
        <v>2.0282955856097673</v>
      </c>
      <c r="N92" s="57" t="str">
        <f>'VITA Index summary'!I71</f>
        <v>EC VALID</v>
      </c>
      <c r="O92" s="22" t="str" cm="1">
        <f t="array" ref="O92">CONCATENATE(_xlfn.IFS(N92="EC INVALID","Invalid EC, repeat test/re-extract sample",J92="CT not detected","CT not detected",K92="Indeterminate","CT detected, Indeterminate Viability",K92&gt;'VITA Index summary'!$O$8,"CT detected, Viable",K92&lt;0.2,"CT detected, Indeterminate Viability",K92&lt;='VITA Index summary'!$O$8,"CT detected, Non-viable"))</f>
        <v>CT not detected</v>
      </c>
      <c r="P92" s="22" t="str" cm="1">
        <f t="array" ref="P92">CONCATENATE(_xlfn.IFS(N92="EC INVALID","Invalid EC, repeat test/re-extract sample",L92="NG not detected","NG not detected",M92="Indeterminate", "NG detected, Indeterminate Viability", M92&gt;'VITA Index summary'!$O$7,"NG detected, Viable",M92&lt;0.5,"NG detected, Indeterminate Viability",M92&lt;='VITA Index summary'!$O$7,"NG detected, Non-viable"))</f>
        <v>NG detected, Viable</v>
      </c>
    </row>
    <row r="93" spans="2:16" x14ac:dyDescent="0.25">
      <c r="B93" s="21" t="str">
        <f>'VITA Index summary'!A72</f>
        <v>G5</v>
      </c>
      <c r="C93" s="21" t="str">
        <f>'VITA Index summary'!B72</f>
        <v>OM3-007_120 min</v>
      </c>
      <c r="D93" s="55" t="str">
        <f>IFERROR(ROUND('Cq and Delta Cq'!C69,2),"N/A")</f>
        <v>N/A</v>
      </c>
      <c r="E93" s="55" t="str">
        <f>IFERROR(ROUND('Cq and Delta Cq'!D69,2),"N/A")</f>
        <v>N/A</v>
      </c>
      <c r="F93" s="55">
        <f>IFERROR(ROUND('Cq and Delta Cq'!E69,2),"N/A")</f>
        <v>23.69</v>
      </c>
      <c r="G93" s="55">
        <f>IFERROR(ROUND('Cq and Delta Cq'!F69,2),"N/A")</f>
        <v>28.78</v>
      </c>
      <c r="H93" s="55">
        <f>IFERROR(ROUND('Cq and Delta Cq'!G69,2),"N/A")</f>
        <v>30.46</v>
      </c>
      <c r="J93" s="22" t="str">
        <f>'VITA Index summary'!C72</f>
        <v>CT not detected</v>
      </c>
      <c r="K93" s="56" t="str">
        <f>IF(AND('VITA Index summary'!C72="NG detected",'VITA Index summary'!D72="N/A"),"Indeterminate",IF(AND('VITA Index summary'!C72="NG detected",'VITA Index summary'!D72&lt;0.2),"Indeterminate",'VITA Index summary'!D72))</f>
        <v>N/A</v>
      </c>
      <c r="L93" s="26" t="str">
        <f>'VITA Index summary'!F72</f>
        <v>NG detected</v>
      </c>
      <c r="M93" s="56">
        <f>IF(AND('VITA Index summary'!F72="NG detected",'VITA Index summary'!G72="N/A"),"Indeterminate",IF(AND('VITA Index summary'!F72="NG detected",'VITA Index summary'!G72&lt;0.5),"Indeterminate",'VITA Index summary'!G72))</f>
        <v>1.6064027319515684</v>
      </c>
      <c r="N93" s="57" t="str">
        <f>'VITA Index summary'!I72</f>
        <v>EC VALID</v>
      </c>
      <c r="O93" s="22" t="str" cm="1">
        <f t="array" ref="O93">CONCATENATE(_xlfn.IFS(N93="EC INVALID","Invalid EC, repeat test/re-extract sample",J93="CT not detected","CT not detected",K93="Indeterminate","CT detected, Indeterminate Viability",K93&gt;'VITA Index summary'!$O$8,"CT detected, Viable",K93&lt;0.2,"CT detected, Indeterminate Viability",K93&lt;='VITA Index summary'!$O$8,"CT detected, Non-viable"))</f>
        <v>CT not detected</v>
      </c>
      <c r="P93" s="22" t="str" cm="1">
        <f t="array" ref="P93">CONCATENATE(_xlfn.IFS(N93="EC INVALID","Invalid EC, repeat test/re-extract sample",L93="NG not detected","NG not detected",M93="Indeterminate", "NG detected, Indeterminate Viability", M93&gt;'VITA Index summary'!$O$7,"NG detected, Viable",M93&lt;0.5,"NG detected, Indeterminate Viability",M93&lt;='VITA Index summary'!$O$7,"NG detected, Non-viable"))</f>
        <v>NG detected, Viable</v>
      </c>
    </row>
    <row r="94" spans="2:16" x14ac:dyDescent="0.25">
      <c r="B94" s="21" t="str">
        <f>'VITA Index summary'!A73</f>
        <v>G6</v>
      </c>
      <c r="C94" s="21" t="str">
        <f>'VITA Index summary'!B73</f>
        <v>OM3-015_0 min</v>
      </c>
      <c r="D94" s="55" t="str">
        <f>IFERROR(ROUND('Cq and Delta Cq'!C70,2),"N/A")</f>
        <v>N/A</v>
      </c>
      <c r="E94" s="55" t="str">
        <f>IFERROR(ROUND('Cq and Delta Cq'!D70,2),"N/A")</f>
        <v>N/A</v>
      </c>
      <c r="F94" s="55">
        <f>IFERROR(ROUND('Cq and Delta Cq'!E70,2),"N/A")</f>
        <v>22.59</v>
      </c>
      <c r="G94" s="55">
        <f>IFERROR(ROUND('Cq and Delta Cq'!F70,2),"N/A")</f>
        <v>26.19</v>
      </c>
      <c r="H94" s="55">
        <f>IFERROR(ROUND('Cq and Delta Cq'!G70,2),"N/A")</f>
        <v>27.65</v>
      </c>
      <c r="J94" s="22" t="str">
        <f>'VITA Index summary'!C73</f>
        <v>CT not detected</v>
      </c>
      <c r="K94" s="56" t="str">
        <f>IF(AND('VITA Index summary'!C73="NG detected",'VITA Index summary'!D73="N/A"),"Indeterminate",IF(AND('VITA Index summary'!C73="NG detected",'VITA Index summary'!D73&lt;0.2),"Indeterminate",'VITA Index summary'!D73))</f>
        <v>N/A</v>
      </c>
      <c r="L94" s="26" t="str">
        <f>'VITA Index summary'!F73</f>
        <v>NG detected</v>
      </c>
      <c r="M94" s="56">
        <f>IF(AND('VITA Index summary'!F73="NG detected",'VITA Index summary'!G73="N/A"),"Indeterminate",IF(AND('VITA Index summary'!F73="NG detected",'VITA Index summary'!G73&lt;0.5),"Indeterminate",'VITA Index summary'!G73))</f>
        <v>1.3730859028481082</v>
      </c>
      <c r="N94" s="57" t="str">
        <f>'VITA Index summary'!I73</f>
        <v>EC VALID</v>
      </c>
      <c r="O94" s="22" t="str" cm="1">
        <f t="array" ref="O94">CONCATENATE(_xlfn.IFS(N94="EC INVALID","Invalid EC, repeat test/re-extract sample",J94="CT not detected","CT not detected",K94="Indeterminate","CT detected, Indeterminate Viability",K94&gt;'VITA Index summary'!$O$8,"CT detected, Viable",K94&lt;0.2,"CT detected, Indeterminate Viability",K94&lt;='VITA Index summary'!$O$8,"CT detected, Non-viable"))</f>
        <v>CT not detected</v>
      </c>
      <c r="P94" s="22" t="str" cm="1">
        <f t="array" ref="P94">CONCATENATE(_xlfn.IFS(N94="EC INVALID","Invalid EC, repeat test/re-extract sample",L94="NG not detected","NG not detected",M94="Indeterminate", "NG detected, Indeterminate Viability", M94&gt;'VITA Index summary'!$O$7,"NG detected, Viable",M94&lt;0.5,"NG detected, Indeterminate Viability",M94&lt;='VITA Index summary'!$O$7,"NG detected, Non-viable"))</f>
        <v>NG detected, Non-viable</v>
      </c>
    </row>
    <row r="95" spans="2:16" x14ac:dyDescent="0.25">
      <c r="B95" s="21" t="str">
        <f>'VITA Index summary'!A74</f>
        <v>G7</v>
      </c>
      <c r="C95" s="21" t="str">
        <f>'VITA Index summary'!B74</f>
        <v>OM3-015_5 min</v>
      </c>
      <c r="D95" s="55" t="str">
        <f>IFERROR(ROUND('Cq and Delta Cq'!C71,2),"N/A")</f>
        <v>N/A</v>
      </c>
      <c r="E95" s="55" t="str">
        <f>IFERROR(ROUND('Cq and Delta Cq'!D71,2),"N/A")</f>
        <v>N/A</v>
      </c>
      <c r="F95" s="55">
        <f>IFERROR(ROUND('Cq and Delta Cq'!E71,2),"N/A")</f>
        <v>23.87</v>
      </c>
      <c r="G95" s="55">
        <f>IFERROR(ROUND('Cq and Delta Cq'!F71,2),"N/A")</f>
        <v>28.19</v>
      </c>
      <c r="H95" s="55">
        <f>IFERROR(ROUND('Cq and Delta Cq'!G71,2),"N/A")</f>
        <v>29.02</v>
      </c>
      <c r="J95" s="22" t="str">
        <f>'VITA Index summary'!C74</f>
        <v>CT not detected</v>
      </c>
      <c r="K95" s="56" t="str">
        <f>IF(AND('VITA Index summary'!C74="NG detected",'VITA Index summary'!D74="N/A"),"Indeterminate",IF(AND('VITA Index summary'!C74="NG detected",'VITA Index summary'!D74&lt;0.2),"Indeterminate",'VITA Index summary'!D74))</f>
        <v>N/A</v>
      </c>
      <c r="L95" s="26" t="str">
        <f>'VITA Index summary'!F74</f>
        <v>NG detected</v>
      </c>
      <c r="M95" s="56">
        <f>IF(AND('VITA Index summary'!F74="NG detected",'VITA Index summary'!G74="N/A"),"Indeterminate",IF(AND('VITA Index summary'!F74="NG detected",'VITA Index summary'!G74&lt;0.5),"Indeterminate",'VITA Index summary'!G74))</f>
        <v>0.88784021425998294</v>
      </c>
      <c r="N95" s="57" t="str">
        <f>'VITA Index summary'!I74</f>
        <v>EC VALID</v>
      </c>
      <c r="O95" s="22" t="str" cm="1">
        <f t="array" ref="O95">CONCATENATE(_xlfn.IFS(N95="EC INVALID","Invalid EC, repeat test/re-extract sample",J95="CT not detected","CT not detected",K95="Indeterminate","CT detected, Indeterminate Viability",K95&gt;'VITA Index summary'!$O$8,"CT detected, Viable",K95&lt;0.2,"CT detected, Indeterminate Viability",K95&lt;='VITA Index summary'!$O$8,"CT detected, Non-viable"))</f>
        <v>CT not detected</v>
      </c>
      <c r="P95" s="22" t="str" cm="1">
        <f t="array" ref="P95">CONCATENATE(_xlfn.IFS(N95="EC INVALID","Invalid EC, repeat test/re-extract sample",L95="NG not detected","NG not detected",M95="Indeterminate", "NG detected, Indeterminate Viability", M95&gt;'VITA Index summary'!$O$7,"NG detected, Viable",M95&lt;0.5,"NG detected, Indeterminate Viability",M95&lt;='VITA Index summary'!$O$7,"NG detected, Non-viable"))</f>
        <v>NG detected, Non-viable</v>
      </c>
    </row>
    <row r="96" spans="2:16" x14ac:dyDescent="0.25">
      <c r="B96" s="21" t="str">
        <f>'VITA Index summary'!A75</f>
        <v>G8</v>
      </c>
      <c r="C96" s="21" t="str">
        <f>'VITA Index summary'!B75</f>
        <v>OM3-015_30 min</v>
      </c>
      <c r="D96" s="55" t="str">
        <f>IFERROR(ROUND('Cq and Delta Cq'!C72,2),"N/A")</f>
        <v>N/A</v>
      </c>
      <c r="E96" s="55" t="str">
        <f>IFERROR(ROUND('Cq and Delta Cq'!D72,2),"N/A")</f>
        <v>N/A</v>
      </c>
      <c r="F96" s="55">
        <f>IFERROR(ROUND('Cq and Delta Cq'!E72,2),"N/A")</f>
        <v>24.25</v>
      </c>
      <c r="G96" s="55">
        <f>IFERROR(ROUND('Cq and Delta Cq'!F72,2),"N/A")</f>
        <v>25.99</v>
      </c>
      <c r="H96" s="55">
        <f>IFERROR(ROUND('Cq and Delta Cq'!G72,2),"N/A")</f>
        <v>28.44</v>
      </c>
      <c r="J96" s="22" t="str">
        <f>'VITA Index summary'!C75</f>
        <v>CT not detected</v>
      </c>
      <c r="K96" s="56" t="str">
        <f>IF(AND('VITA Index summary'!C75="NG detected",'VITA Index summary'!D75="N/A"),"Indeterminate",IF(AND('VITA Index summary'!C75="NG detected",'VITA Index summary'!D75&lt;0.2),"Indeterminate",'VITA Index summary'!D75))</f>
        <v>N/A</v>
      </c>
      <c r="L96" s="26" t="str">
        <f>'VITA Index summary'!F75</f>
        <v>NG detected</v>
      </c>
      <c r="M96" s="56">
        <f>IF(AND('VITA Index summary'!F75="NG detected",'VITA Index summary'!G75="N/A"),"Indeterminate",IF(AND('VITA Index summary'!F75="NG detected",'VITA Index summary'!G75&lt;0.5),"Indeterminate",'VITA Index summary'!G75))</f>
        <v>2.7350661204668176</v>
      </c>
      <c r="N96" s="57" t="str">
        <f>'VITA Index summary'!I75</f>
        <v>EC VALID</v>
      </c>
      <c r="O96" s="22" t="str" cm="1">
        <f t="array" ref="O96">CONCATENATE(_xlfn.IFS(N96="EC INVALID","Invalid EC, repeat test/re-extract sample",J96="CT not detected","CT not detected",K96="Indeterminate","CT detected, Indeterminate Viability",K96&gt;'VITA Index summary'!$O$8,"CT detected, Viable",K96&lt;0.2,"CT detected, Indeterminate Viability",K96&lt;='VITA Index summary'!$O$8,"CT detected, Non-viable"))</f>
        <v>CT not detected</v>
      </c>
      <c r="P96" s="22" t="str" cm="1">
        <f t="array" ref="P96">CONCATENATE(_xlfn.IFS(N96="EC INVALID","Invalid EC, repeat test/re-extract sample",L96="NG not detected","NG not detected",M96="Indeterminate", "NG detected, Indeterminate Viability", M96&gt;'VITA Index summary'!$O$7,"NG detected, Viable",M96&lt;0.5,"NG detected, Indeterminate Viability",M96&lt;='VITA Index summary'!$O$7,"NG detected, Non-viable"))</f>
        <v>NG detected, Viable</v>
      </c>
    </row>
    <row r="97" spans="2:16" x14ac:dyDescent="0.25">
      <c r="B97" s="21" t="str">
        <f>'VITA Index summary'!A76</f>
        <v>G9</v>
      </c>
      <c r="C97" s="21" t="str">
        <f>'VITA Index summary'!B76</f>
        <v>OM3-015_60 min</v>
      </c>
      <c r="D97" s="55" t="str">
        <f>IFERROR(ROUND('Cq and Delta Cq'!C73,2),"N/A")</f>
        <v>N/A</v>
      </c>
      <c r="E97" s="55" t="str">
        <f>IFERROR(ROUND('Cq and Delta Cq'!D73,2),"N/A")</f>
        <v>N/A</v>
      </c>
      <c r="F97" s="55">
        <f>IFERROR(ROUND('Cq and Delta Cq'!E73,2),"N/A")</f>
        <v>23.98</v>
      </c>
      <c r="G97" s="55">
        <f>IFERROR(ROUND('Cq and Delta Cq'!F73,2),"N/A")</f>
        <v>25.97</v>
      </c>
      <c r="H97" s="55">
        <f>IFERROR(ROUND('Cq and Delta Cq'!G73,2),"N/A")</f>
        <v>27.64</v>
      </c>
      <c r="J97" s="22" t="str">
        <f>'VITA Index summary'!C76</f>
        <v>CT not detected</v>
      </c>
      <c r="K97" s="56" t="str">
        <f>IF(AND('VITA Index summary'!C76="NG detected",'VITA Index summary'!D76="N/A"),"Indeterminate",IF(AND('VITA Index summary'!C76="NG detected",'VITA Index summary'!D76&lt;0.2),"Indeterminate",'VITA Index summary'!D76))</f>
        <v>N/A</v>
      </c>
      <c r="L97" s="26" t="str">
        <f>'VITA Index summary'!F76</f>
        <v>NG detected</v>
      </c>
      <c r="M97" s="56">
        <f>IF(AND('VITA Index summary'!F76="NG detected",'VITA Index summary'!G76="N/A"),"Indeterminate",IF(AND('VITA Index summary'!F76="NG detected",'VITA Index summary'!G76&lt;0.5),"Indeterminate",'VITA Index summary'!G76))</f>
        <v>1.5935955970410864</v>
      </c>
      <c r="N97" s="57" t="str">
        <f>'VITA Index summary'!I76</f>
        <v>EC VALID</v>
      </c>
      <c r="O97" s="22" t="str" cm="1">
        <f t="array" ref="O97">CONCATENATE(_xlfn.IFS(N97="EC INVALID","Invalid EC, repeat test/re-extract sample",J97="CT not detected","CT not detected",K97="Indeterminate","CT detected, Indeterminate Viability",K97&gt;'VITA Index summary'!$O$8,"CT detected, Viable",K97&lt;0.2,"CT detected, Indeterminate Viability",K97&lt;='VITA Index summary'!$O$8,"CT detected, Non-viable"))</f>
        <v>CT not detected</v>
      </c>
      <c r="P97" s="22" t="str" cm="1">
        <f t="array" ref="P97">CONCATENATE(_xlfn.IFS(N97="EC INVALID","Invalid EC, repeat test/re-extract sample",L97="NG not detected","NG not detected",M97="Indeterminate", "NG detected, Indeterminate Viability", M97&gt;'VITA Index summary'!$O$7,"NG detected, Viable",M97&lt;0.5,"NG detected, Indeterminate Viability",M97&lt;='VITA Index summary'!$O$7,"NG detected, Non-viable"))</f>
        <v>NG detected, Viable</v>
      </c>
    </row>
    <row r="98" spans="2:16" x14ac:dyDescent="0.25">
      <c r="B98" s="21" t="str">
        <f>'VITA Index summary'!A77</f>
        <v>G10</v>
      </c>
      <c r="C98" s="21" t="str">
        <f>'VITA Index summary'!B77</f>
        <v>OM3-015_120 min</v>
      </c>
      <c r="D98" s="55" t="str">
        <f>IFERROR(ROUND('Cq and Delta Cq'!C74,2),"N/A")</f>
        <v>N/A</v>
      </c>
      <c r="E98" s="55" t="str">
        <f>IFERROR(ROUND('Cq and Delta Cq'!D74,2),"N/A")</f>
        <v>N/A</v>
      </c>
      <c r="F98" s="55">
        <f>IFERROR(ROUND('Cq and Delta Cq'!E74,2),"N/A")</f>
        <v>25.75</v>
      </c>
      <c r="G98" s="55">
        <f>IFERROR(ROUND('Cq and Delta Cq'!F74,2),"N/A")</f>
        <v>27.76</v>
      </c>
      <c r="H98" s="55">
        <f>IFERROR(ROUND('Cq and Delta Cq'!G74,2),"N/A")</f>
        <v>29.43</v>
      </c>
      <c r="J98" s="22" t="str">
        <f>'VITA Index summary'!C77</f>
        <v>CT not detected</v>
      </c>
      <c r="K98" s="56" t="str">
        <f>IF(AND('VITA Index summary'!C77="NG detected",'VITA Index summary'!D77="N/A"),"Indeterminate",IF(AND('VITA Index summary'!C77="NG detected",'VITA Index summary'!D77&lt;0.2),"Indeterminate",'VITA Index summary'!D77))</f>
        <v>N/A</v>
      </c>
      <c r="L98" s="26" t="str">
        <f>'VITA Index summary'!F77</f>
        <v>NG detected</v>
      </c>
      <c r="M98" s="56">
        <f>IF(AND('VITA Index summary'!F77="NG detected",'VITA Index summary'!G77="N/A"),"Indeterminate",IF(AND('VITA Index summary'!F77="NG detected",'VITA Index summary'!G77&lt;0.5),"Indeterminate",'VITA Index summary'!G77))</f>
        <v>1.5880137737659779</v>
      </c>
      <c r="N98" s="57" t="str">
        <f>'VITA Index summary'!I77</f>
        <v>EC VALID</v>
      </c>
      <c r="O98" s="22" t="str" cm="1">
        <f t="array" ref="O98">CONCATENATE(_xlfn.IFS(N98="EC INVALID","Invalid EC, repeat test/re-extract sample",J98="CT not detected","CT not detected",K98="Indeterminate","CT detected, Indeterminate Viability",K98&gt;'VITA Index summary'!$O$8,"CT detected, Viable",K98&lt;0.2,"CT detected, Indeterminate Viability",K98&lt;='VITA Index summary'!$O$8,"CT detected, Non-viable"))</f>
        <v>CT not detected</v>
      </c>
      <c r="P98" s="22" t="str" cm="1">
        <f t="array" ref="P98">CONCATENATE(_xlfn.IFS(N98="EC INVALID","Invalid EC, repeat test/re-extract sample",L98="NG not detected","NG not detected",M98="Indeterminate", "NG detected, Indeterminate Viability", M98&gt;'VITA Index summary'!$O$7,"NG detected, Viable",M98&lt;0.5,"NG detected, Indeterminate Viability",M98&lt;='VITA Index summary'!$O$7,"NG detected, Non-viable"))</f>
        <v>NG detected, Viable</v>
      </c>
    </row>
    <row r="99" spans="2:16" x14ac:dyDescent="0.25">
      <c r="B99" s="21" t="str">
        <f>'VITA Index summary'!A78</f>
        <v>H1</v>
      </c>
      <c r="C99" s="21" t="str">
        <f>'VITA Index summary'!B78</f>
        <v>OM3-008_0 min</v>
      </c>
      <c r="D99" s="55" t="str">
        <f>IFERROR(ROUND('Cq and Delta Cq'!C75,2),"N/A")</f>
        <v>N/A</v>
      </c>
      <c r="E99" s="55" t="str">
        <f>IFERROR(ROUND('Cq and Delta Cq'!D75,2),"N/A")</f>
        <v>N/A</v>
      </c>
      <c r="F99" s="55">
        <f>IFERROR(ROUND('Cq and Delta Cq'!E75,2),"N/A")</f>
        <v>24.05</v>
      </c>
      <c r="G99" s="55">
        <f>IFERROR(ROUND('Cq and Delta Cq'!F75,2),"N/A")</f>
        <v>30.45</v>
      </c>
      <c r="H99" s="55">
        <f>IFERROR(ROUND('Cq and Delta Cq'!G75,2),"N/A")</f>
        <v>32.32</v>
      </c>
      <c r="J99" s="22" t="str">
        <f>'VITA Index summary'!C78</f>
        <v>CT not detected</v>
      </c>
      <c r="K99" s="56" t="str">
        <f>IF(AND('VITA Index summary'!C78="NG detected",'VITA Index summary'!D78="N/A"),"Indeterminate",IF(AND('VITA Index summary'!C78="NG detected",'VITA Index summary'!D78&lt;0.2),"Indeterminate",'VITA Index summary'!D78))</f>
        <v>N/A</v>
      </c>
      <c r="L99" s="26" t="str">
        <f>'VITA Index summary'!F78</f>
        <v>NG detected</v>
      </c>
      <c r="M99" s="56" t="str">
        <f>IF(AND('VITA Index summary'!F78="NG detected",'VITA Index summary'!G78="N/A"),"Indeterminate",IF(AND('VITA Index summary'!F78="NG detected",'VITA Index summary'!G78&lt;0.5),"Indeterminate",'VITA Index summary'!G78))</f>
        <v>Indeterminate</v>
      </c>
      <c r="N99" s="57" t="str">
        <f>'VITA Index summary'!I78</f>
        <v>EC VALID</v>
      </c>
      <c r="O99" s="22" t="str" cm="1">
        <f t="array" ref="O99">CONCATENATE(_xlfn.IFS(N99="EC INVALID","Invalid EC, repeat test/re-extract sample",J99="CT not detected","CT not detected",K99="Indeterminate","CT detected, Indeterminate Viability",K99&gt;'VITA Index summary'!$O$8,"CT detected, Viable",K99&lt;0.2,"CT detected, Indeterminate Viability",K99&lt;='VITA Index summary'!$O$8,"CT detected, Non-viable"))</f>
        <v>CT not detected</v>
      </c>
      <c r="P99" s="22" t="str" cm="1">
        <f t="array" ref="P99">CONCATENATE(_xlfn.IFS(N99="EC INVALID","Invalid EC, repeat test/re-extract sample",L99="NG not detected","NG not detected",M99="Indeterminate", "NG detected, Indeterminate Viability", M99&gt;'VITA Index summary'!$O$7,"NG detected, Viable",M99&lt;0.5,"NG detected, Indeterminate Viability",M99&lt;='VITA Index summary'!$O$7,"NG detected, Non-viable"))</f>
        <v>NG detected, Indeterminate Viability</v>
      </c>
    </row>
    <row r="100" spans="2:16" x14ac:dyDescent="0.25">
      <c r="B100" s="21" t="str">
        <f>'VITA Index summary'!A79</f>
        <v>H2</v>
      </c>
      <c r="C100" s="21" t="str">
        <f>'VITA Index summary'!B79</f>
        <v>OM3-008_5 min</v>
      </c>
      <c r="D100" s="55" t="str">
        <f>IFERROR(ROUND('Cq and Delta Cq'!C76,2),"N/A")</f>
        <v>N/A</v>
      </c>
      <c r="E100" s="55" t="str">
        <f>IFERROR(ROUND('Cq and Delta Cq'!D76,2),"N/A")</f>
        <v>N/A</v>
      </c>
      <c r="F100" s="55">
        <f>IFERROR(ROUND('Cq and Delta Cq'!E76,2),"N/A")</f>
        <v>25.27</v>
      </c>
      <c r="G100" s="55">
        <f>IFERROR(ROUND('Cq and Delta Cq'!F76,2),"N/A")</f>
        <v>30.66</v>
      </c>
      <c r="H100" s="55">
        <f>IFERROR(ROUND('Cq and Delta Cq'!G76,2),"N/A")</f>
        <v>33.25</v>
      </c>
      <c r="J100" s="22" t="str">
        <f>'VITA Index summary'!C79</f>
        <v>CT not detected</v>
      </c>
      <c r="K100" s="56" t="str">
        <f>IF(AND('VITA Index summary'!C79="NG detected",'VITA Index summary'!D79="N/A"),"Indeterminate",IF(AND('VITA Index summary'!C79="NG detected",'VITA Index summary'!D79&lt;0.2),"Indeterminate",'VITA Index summary'!D79))</f>
        <v>N/A</v>
      </c>
      <c r="L100" s="26" t="str">
        <f>'VITA Index summary'!F79</f>
        <v>NG detected</v>
      </c>
      <c r="M100" s="56" t="str">
        <f>IF(AND('VITA Index summary'!F79="NG detected",'VITA Index summary'!G79="N/A"),"Indeterminate",IF(AND('VITA Index summary'!F79="NG detected",'VITA Index summary'!G79&lt;0.5),"Indeterminate",'VITA Index summary'!G79))</f>
        <v>Indeterminate</v>
      </c>
      <c r="N100" s="57" t="str">
        <f>'VITA Index summary'!I79</f>
        <v>EC VALID</v>
      </c>
      <c r="O100" s="22" t="str" cm="1">
        <f t="array" ref="O100">CONCATENATE(_xlfn.IFS(N100="EC INVALID","Invalid EC, repeat test/re-extract sample",J100="CT not detected","CT not detected",K100="Indeterminate","CT detected, Indeterminate Viability",K100&gt;'VITA Index summary'!$O$8,"CT detected, Viable",K100&lt;0.2,"CT detected, Indeterminate Viability",K100&lt;='VITA Index summary'!$O$8,"CT detected, Non-viable"))</f>
        <v>CT not detected</v>
      </c>
      <c r="P100" s="22" t="str" cm="1">
        <f t="array" ref="P100">CONCATENATE(_xlfn.IFS(N100="EC INVALID","Invalid EC, repeat test/re-extract sample",L100="NG not detected","NG not detected",M100="Indeterminate", "NG detected, Indeterminate Viability", M100&gt;'VITA Index summary'!$O$7,"NG detected, Viable",M100&lt;0.5,"NG detected, Indeterminate Viability",M100&lt;='VITA Index summary'!$O$7,"NG detected, Non-viable"))</f>
        <v>NG detected, Indeterminate Viability</v>
      </c>
    </row>
    <row r="101" spans="2:16" x14ac:dyDescent="0.25">
      <c r="B101" s="21" t="str">
        <f>'VITA Index summary'!A80</f>
        <v>H3</v>
      </c>
      <c r="C101" s="21" t="str">
        <f>'VITA Index summary'!B80</f>
        <v>OM3-008_30 min</v>
      </c>
      <c r="D101" s="55" t="str">
        <f>IFERROR(ROUND('Cq and Delta Cq'!C77,2),"N/A")</f>
        <v>N/A</v>
      </c>
      <c r="E101" s="55" t="str">
        <f>IFERROR(ROUND('Cq and Delta Cq'!D77,2),"N/A")</f>
        <v>N/A</v>
      </c>
      <c r="F101" s="55">
        <f>IFERROR(ROUND('Cq and Delta Cq'!E77,2),"N/A")</f>
        <v>24.6</v>
      </c>
      <c r="G101" s="55">
        <f>IFERROR(ROUND('Cq and Delta Cq'!F77,2),"N/A")</f>
        <v>31.09</v>
      </c>
      <c r="H101" s="55">
        <f>IFERROR(ROUND('Cq and Delta Cq'!G77,2),"N/A")</f>
        <v>33.53</v>
      </c>
      <c r="J101" s="22" t="str">
        <f>'VITA Index summary'!C80</f>
        <v>CT not detected</v>
      </c>
      <c r="K101" s="56" t="str">
        <f>IF(AND('VITA Index summary'!C80="NG detected",'VITA Index summary'!D80="N/A"),"Indeterminate",IF(AND('VITA Index summary'!C80="NG detected",'VITA Index summary'!D80&lt;0.2),"Indeterminate",'VITA Index summary'!D80))</f>
        <v>N/A</v>
      </c>
      <c r="L101" s="26" t="str">
        <f>'VITA Index summary'!F80</f>
        <v>NG detected</v>
      </c>
      <c r="M101" s="56" t="str">
        <f>IF(AND('VITA Index summary'!F80="NG detected",'VITA Index summary'!G80="N/A"),"Indeterminate",IF(AND('VITA Index summary'!F80="NG detected",'VITA Index summary'!G80&lt;0.5),"Indeterminate",'VITA Index summary'!G80))</f>
        <v>Indeterminate</v>
      </c>
      <c r="N101" s="57" t="str">
        <f>'VITA Index summary'!I80</f>
        <v>EC VALID</v>
      </c>
      <c r="O101" s="22" t="str" cm="1">
        <f t="array" ref="O101">CONCATENATE(_xlfn.IFS(N101="EC INVALID","Invalid EC, repeat test/re-extract sample",J101="CT not detected","CT not detected",K101="Indeterminate","CT detected, Indeterminate Viability",K101&gt;'VITA Index summary'!$O$8,"CT detected, Viable",K101&lt;0.2,"CT detected, Indeterminate Viability",K101&lt;='VITA Index summary'!$O$8,"CT detected, Non-viable"))</f>
        <v>CT not detected</v>
      </c>
      <c r="P101" s="22" t="str" cm="1">
        <f t="array" ref="P101">CONCATENATE(_xlfn.IFS(N101="EC INVALID","Invalid EC, repeat test/re-extract sample",L101="NG not detected","NG not detected",M101="Indeterminate", "NG detected, Indeterminate Viability", M101&gt;'VITA Index summary'!$O$7,"NG detected, Viable",M101&lt;0.5,"NG detected, Indeterminate Viability",M101&lt;='VITA Index summary'!$O$7,"NG detected, Non-viable"))</f>
        <v>NG detected, Indeterminate Viability</v>
      </c>
    </row>
    <row r="102" spans="2:16" x14ac:dyDescent="0.25">
      <c r="B102" s="21" t="str">
        <f>'VITA Index summary'!A81</f>
        <v>H4</v>
      </c>
      <c r="C102" s="21" t="str">
        <f>'VITA Index summary'!B81</f>
        <v>OM3-008_60 min</v>
      </c>
      <c r="D102" s="55" t="str">
        <f>IFERROR(ROUND('Cq and Delta Cq'!C78,2),"N/A")</f>
        <v>N/A</v>
      </c>
      <c r="E102" s="55" t="str">
        <f>IFERROR(ROUND('Cq and Delta Cq'!D78,2),"N/A")</f>
        <v>N/A</v>
      </c>
      <c r="F102" s="55">
        <f>IFERROR(ROUND('Cq and Delta Cq'!E78,2),"N/A")</f>
        <v>24.03</v>
      </c>
      <c r="G102" s="55">
        <f>IFERROR(ROUND('Cq and Delta Cq'!F78,2),"N/A")</f>
        <v>29.43</v>
      </c>
      <c r="H102" s="55">
        <f>IFERROR(ROUND('Cq and Delta Cq'!G78,2),"N/A")</f>
        <v>31.89</v>
      </c>
      <c r="J102" s="22" t="str">
        <f>'VITA Index summary'!C81</f>
        <v>CT not detected</v>
      </c>
      <c r="K102" s="56" t="str">
        <f>IF(AND('VITA Index summary'!C81="NG detected",'VITA Index summary'!D81="N/A"),"Indeterminate",IF(AND('VITA Index summary'!C81="NG detected",'VITA Index summary'!D81&lt;0.2),"Indeterminate",'VITA Index summary'!D81))</f>
        <v>N/A</v>
      </c>
      <c r="L102" s="26" t="str">
        <f>'VITA Index summary'!F81</f>
        <v>NG detected</v>
      </c>
      <c r="M102" s="56">
        <f>IF(AND('VITA Index summary'!F81="NG detected",'VITA Index summary'!G81="N/A"),"Indeterminate",IF(AND('VITA Index summary'!F81="NG detected",'VITA Index summary'!G81&lt;0.5),"Indeterminate",'VITA Index summary'!G81))</f>
        <v>2.7421376962178097</v>
      </c>
      <c r="N102" s="57" t="str">
        <f>'VITA Index summary'!I81</f>
        <v>EC VALID</v>
      </c>
      <c r="O102" s="22" t="str" cm="1">
        <f t="array" ref="O102">CONCATENATE(_xlfn.IFS(N102="EC INVALID","Invalid EC, repeat test/re-extract sample",J102="CT not detected","CT not detected",K102="Indeterminate","CT detected, Indeterminate Viability",K102&gt;'VITA Index summary'!$O$8,"CT detected, Viable",K102&lt;0.2,"CT detected, Indeterminate Viability",K102&lt;='VITA Index summary'!$O$8,"CT detected, Non-viable"))</f>
        <v>CT not detected</v>
      </c>
      <c r="P102" s="22" t="str" cm="1">
        <f t="array" ref="P102">CONCATENATE(_xlfn.IFS(N102="EC INVALID","Invalid EC, repeat test/re-extract sample",L102="NG not detected","NG not detected",M102="Indeterminate", "NG detected, Indeterminate Viability", M102&gt;'VITA Index summary'!$O$7,"NG detected, Viable",M102&lt;0.5,"NG detected, Indeterminate Viability",M102&lt;='VITA Index summary'!$O$7,"NG detected, Non-viable"))</f>
        <v>NG detected, Viable</v>
      </c>
    </row>
    <row r="103" spans="2:16" x14ac:dyDescent="0.25">
      <c r="B103" s="21" t="str">
        <f>'VITA Index summary'!A82</f>
        <v>H5</v>
      </c>
      <c r="C103" s="21" t="str">
        <f>'VITA Index summary'!B82</f>
        <v>OM3-008_120 min</v>
      </c>
      <c r="D103" s="55" t="str">
        <f>IFERROR(ROUND('Cq and Delta Cq'!C79,2),"N/A")</f>
        <v>N/A</v>
      </c>
      <c r="E103" s="55" t="str">
        <f>IFERROR(ROUND('Cq and Delta Cq'!D79,2),"N/A")</f>
        <v>N/A</v>
      </c>
      <c r="F103" s="55">
        <f>IFERROR(ROUND('Cq and Delta Cq'!E79,2),"N/A")</f>
        <v>22.79</v>
      </c>
      <c r="G103" s="55">
        <f>IFERROR(ROUND('Cq and Delta Cq'!F79,2),"N/A")</f>
        <v>29.57</v>
      </c>
      <c r="H103" s="55">
        <f>IFERROR(ROUND('Cq and Delta Cq'!G79,2),"N/A")</f>
        <v>31.8</v>
      </c>
      <c r="J103" s="22" t="str">
        <f>'VITA Index summary'!C82</f>
        <v>CT not detected</v>
      </c>
      <c r="K103" s="56" t="str">
        <f>IF(AND('VITA Index summary'!C82="NG detected",'VITA Index summary'!D82="N/A"),"Indeterminate",IF(AND('VITA Index summary'!C82="NG detected",'VITA Index summary'!D82&lt;0.2),"Indeterminate",'VITA Index summary'!D82))</f>
        <v>N/A</v>
      </c>
      <c r="L103" s="26" t="str">
        <f>'VITA Index summary'!F82</f>
        <v>NG detected</v>
      </c>
      <c r="M103" s="56">
        <f>IF(AND('VITA Index summary'!F82="NG detected",'VITA Index summary'!G82="N/A"),"Indeterminate",IF(AND('VITA Index summary'!F82="NG detected",'VITA Index summary'!G82&lt;0.5),"Indeterminate",'VITA Index summary'!G82))</f>
        <v>2.3408208816928315</v>
      </c>
      <c r="N103" s="57" t="str">
        <f>'VITA Index summary'!I82</f>
        <v>EC VALID</v>
      </c>
      <c r="O103" s="22" t="str" cm="1">
        <f t="array" ref="O103">CONCATENATE(_xlfn.IFS(N103="EC INVALID","Invalid EC, repeat test/re-extract sample",J103="CT not detected","CT not detected",K103="Indeterminate","CT detected, Indeterminate Viability",K103&gt;'VITA Index summary'!$O$8,"CT detected, Viable",K103&lt;0.2,"CT detected, Indeterminate Viability",K103&lt;='VITA Index summary'!$O$8,"CT detected, Non-viable"))</f>
        <v>CT not detected</v>
      </c>
      <c r="P103" s="22" t="str" cm="1">
        <f t="array" ref="P103">CONCATENATE(_xlfn.IFS(N103="EC INVALID","Invalid EC, repeat test/re-extract sample",L103="NG not detected","NG not detected",M103="Indeterminate", "NG detected, Indeterminate Viability", M103&gt;'VITA Index summary'!$O$7,"NG detected, Viable",M103&lt;0.5,"NG detected, Indeterminate Viability",M103&lt;='VITA Index summary'!$O$7,"NG detected, Non-viable"))</f>
        <v>NG detected, Viable</v>
      </c>
    </row>
    <row r="104" spans="2:16" x14ac:dyDescent="0.25">
      <c r="B104" s="21" t="str">
        <f>'VITA Index summary'!A83</f>
        <v>H6</v>
      </c>
      <c r="C104" s="21" t="str">
        <f>'VITA Index summary'!B83</f>
        <v>OM3-016_0 min</v>
      </c>
      <c r="D104" s="55" t="str">
        <f>IFERROR(ROUND('Cq and Delta Cq'!C80,2),"N/A")</f>
        <v>N/A</v>
      </c>
      <c r="E104" s="55" t="str">
        <f>IFERROR(ROUND('Cq and Delta Cq'!D80,2),"N/A")</f>
        <v>N/A</v>
      </c>
      <c r="F104" s="55">
        <f>IFERROR(ROUND('Cq and Delta Cq'!E80,2),"N/A")</f>
        <v>24.84</v>
      </c>
      <c r="G104" s="55">
        <f>IFERROR(ROUND('Cq and Delta Cq'!F80,2),"N/A")</f>
        <v>27.29</v>
      </c>
      <c r="H104" s="55">
        <f>IFERROR(ROUND('Cq and Delta Cq'!G80,2),"N/A")</f>
        <v>29.59</v>
      </c>
      <c r="J104" s="22" t="str">
        <f>'VITA Index summary'!C83</f>
        <v>CT not detected</v>
      </c>
      <c r="K104" s="56" t="str">
        <f>IF(AND('VITA Index summary'!C83="NG detected",'VITA Index summary'!D83="N/A"),"Indeterminate",IF(AND('VITA Index summary'!C83="NG detected",'VITA Index summary'!D83&lt;0.2),"Indeterminate",'VITA Index summary'!D83))</f>
        <v>N/A</v>
      </c>
      <c r="L104" s="26" t="str">
        <f>'VITA Index summary'!F83</f>
        <v>NG detected</v>
      </c>
      <c r="M104" s="56">
        <f>IF(AND('VITA Index summary'!F83="NG detected",'VITA Index summary'!G83="N/A"),"Indeterminate",IF(AND('VITA Index summary'!F83="NG detected",'VITA Index summary'!G83&lt;0.5),"Indeterminate",'VITA Index summary'!G83))</f>
        <v>2.4607756857094807</v>
      </c>
      <c r="N104" s="57" t="str">
        <f>'VITA Index summary'!I83</f>
        <v>EC VALID</v>
      </c>
      <c r="O104" s="22" t="str" cm="1">
        <f t="array" ref="O104">CONCATENATE(_xlfn.IFS(N104="EC INVALID","Invalid EC, repeat test/re-extract sample",J104="CT not detected","CT not detected",K104="Indeterminate","CT detected, Indeterminate Viability",K104&gt;'VITA Index summary'!$O$8,"CT detected, Viable",K104&lt;0.2,"CT detected, Indeterminate Viability",K104&lt;='VITA Index summary'!$O$8,"CT detected, Non-viable"))</f>
        <v>CT not detected</v>
      </c>
      <c r="P104" s="22" t="str" cm="1">
        <f t="array" ref="P104">CONCATENATE(_xlfn.IFS(N104="EC INVALID","Invalid EC, repeat test/re-extract sample",L104="NG not detected","NG not detected",M104="Indeterminate", "NG detected, Indeterminate Viability", M104&gt;'VITA Index summary'!$O$7,"NG detected, Viable",M104&lt;0.5,"NG detected, Indeterminate Viability",M104&lt;='VITA Index summary'!$O$7,"NG detected, Non-viable"))</f>
        <v>NG detected, Viable</v>
      </c>
    </row>
    <row r="105" spans="2:16" x14ac:dyDescent="0.25">
      <c r="B105" s="21" t="str">
        <f>'VITA Index summary'!A84</f>
        <v>H7</v>
      </c>
      <c r="C105" s="21" t="str">
        <f>'VITA Index summary'!B84</f>
        <v>OM3-016_5 min</v>
      </c>
      <c r="D105" s="55" t="str">
        <f>IFERROR(ROUND('Cq and Delta Cq'!C81,2),"N/A")</f>
        <v>N/A</v>
      </c>
      <c r="E105" s="55" t="str">
        <f>IFERROR(ROUND('Cq and Delta Cq'!D81,2),"N/A")</f>
        <v>N/A</v>
      </c>
      <c r="F105" s="55">
        <f>IFERROR(ROUND('Cq and Delta Cq'!E81,2),"N/A")</f>
        <v>24.4</v>
      </c>
      <c r="G105" s="55">
        <f>IFERROR(ROUND('Cq and Delta Cq'!F81,2),"N/A")</f>
        <v>25.7</v>
      </c>
      <c r="H105" s="55">
        <f>IFERROR(ROUND('Cq and Delta Cq'!G81,2),"N/A")</f>
        <v>28.24</v>
      </c>
      <c r="J105" s="22" t="str">
        <f>'VITA Index summary'!C84</f>
        <v>CT not detected</v>
      </c>
      <c r="K105" s="56" t="str">
        <f>IF(AND('VITA Index summary'!C84="NG detected",'VITA Index summary'!D84="N/A"),"Indeterminate",IF(AND('VITA Index summary'!C84="NG detected",'VITA Index summary'!D84&lt;0.2),"Indeterminate",'VITA Index summary'!D84))</f>
        <v>N/A</v>
      </c>
      <c r="L105" s="26" t="str">
        <f>'VITA Index summary'!F84</f>
        <v>NG detected</v>
      </c>
      <c r="M105" s="56">
        <f>IF(AND('VITA Index summary'!F84="NG detected",'VITA Index summary'!G84="N/A"),"Indeterminate",IF(AND('VITA Index summary'!F84="NG detected",'VITA Index summary'!G84&lt;0.5),"Indeterminate",'VITA Index summary'!G84))</f>
        <v>2.9039886238051711</v>
      </c>
      <c r="N105" s="57" t="str">
        <f>'VITA Index summary'!I84</f>
        <v>EC VALID</v>
      </c>
      <c r="O105" s="22" t="str" cm="1">
        <f t="array" ref="O105">CONCATENATE(_xlfn.IFS(N105="EC INVALID","Invalid EC, repeat test/re-extract sample",J105="CT not detected","CT not detected",K105="Indeterminate","CT detected, Indeterminate Viability",K105&gt;'VITA Index summary'!$O$8,"CT detected, Viable",K105&lt;0.2,"CT detected, Indeterminate Viability",K105&lt;='VITA Index summary'!$O$8,"CT detected, Non-viable"))</f>
        <v>CT not detected</v>
      </c>
      <c r="P105" s="22" t="str" cm="1">
        <f t="array" ref="P105">CONCATENATE(_xlfn.IFS(N105="EC INVALID","Invalid EC, repeat test/re-extract sample",L105="NG not detected","NG not detected",M105="Indeterminate", "NG detected, Indeterminate Viability", M105&gt;'VITA Index summary'!$O$7,"NG detected, Viable",M105&lt;0.5,"NG detected, Indeterminate Viability",M105&lt;='VITA Index summary'!$O$7,"NG detected, Non-viable"))</f>
        <v>NG detected, Viable</v>
      </c>
    </row>
    <row r="106" spans="2:16" x14ac:dyDescent="0.25">
      <c r="B106" s="21" t="str">
        <f>'VITA Index summary'!A85</f>
        <v>H8</v>
      </c>
      <c r="C106" s="21" t="str">
        <f>'VITA Index summary'!B85</f>
        <v>OM3-016_30 min</v>
      </c>
      <c r="D106" s="55" t="str">
        <f>IFERROR(ROUND('Cq and Delta Cq'!C82,2),"N/A")</f>
        <v>N/A</v>
      </c>
      <c r="E106" s="55" t="str">
        <f>IFERROR(ROUND('Cq and Delta Cq'!D82,2),"N/A")</f>
        <v>N/A</v>
      </c>
      <c r="F106" s="55">
        <f>IFERROR(ROUND('Cq and Delta Cq'!E82,2),"N/A")</f>
        <v>24.72</v>
      </c>
      <c r="G106" s="55">
        <f>IFERROR(ROUND('Cq and Delta Cq'!F82,2),"N/A")</f>
        <v>25.45</v>
      </c>
      <c r="H106" s="55">
        <f>IFERROR(ROUND('Cq and Delta Cq'!G82,2),"N/A")</f>
        <v>28.24</v>
      </c>
      <c r="J106" s="22" t="str">
        <f>'VITA Index summary'!C85</f>
        <v>CT not detected</v>
      </c>
      <c r="K106" s="56" t="str">
        <f>IF(AND('VITA Index summary'!C85="NG detected",'VITA Index summary'!D85="N/A"),"Indeterminate",IF(AND('VITA Index summary'!C85="NG detected",'VITA Index summary'!D85&lt;0.2),"Indeterminate",'VITA Index summary'!D85))</f>
        <v>N/A</v>
      </c>
      <c r="L106" s="26" t="str">
        <f>'VITA Index summary'!F85</f>
        <v>NG detected</v>
      </c>
      <c r="M106" s="56">
        <f>IF(AND('VITA Index summary'!F85="NG detected",'VITA Index summary'!G85="N/A"),"Indeterminate",IF(AND('VITA Index summary'!F85="NG detected",'VITA Index summary'!G85&lt;0.5),"Indeterminate",'VITA Index summary'!G85))</f>
        <v>3.4756879446391045</v>
      </c>
      <c r="N106" s="57" t="str">
        <f>'VITA Index summary'!I85</f>
        <v>EC VALID</v>
      </c>
      <c r="O106" s="22" t="str" cm="1">
        <f t="array" ref="O106">CONCATENATE(_xlfn.IFS(N106="EC INVALID","Invalid EC, repeat test/re-extract sample",J106="CT not detected","CT not detected",K106="Indeterminate","CT detected, Indeterminate Viability",K106&gt;'VITA Index summary'!$O$8,"CT detected, Viable",K106&lt;0.2,"CT detected, Indeterminate Viability",K106&lt;='VITA Index summary'!$O$8,"CT detected, Non-viable"))</f>
        <v>CT not detected</v>
      </c>
      <c r="P106" s="22" t="str" cm="1">
        <f t="array" ref="P106">CONCATENATE(_xlfn.IFS(N106="EC INVALID","Invalid EC, repeat test/re-extract sample",L106="NG not detected","NG not detected",M106="Indeterminate", "NG detected, Indeterminate Viability", M106&gt;'VITA Index summary'!$O$7,"NG detected, Viable",M106&lt;0.5,"NG detected, Indeterminate Viability",M106&lt;='VITA Index summary'!$O$7,"NG detected, Non-viable"))</f>
        <v>NG detected, Viable</v>
      </c>
    </row>
    <row r="107" spans="2:16" x14ac:dyDescent="0.25">
      <c r="B107" s="21" t="str">
        <f>'VITA Index summary'!A86</f>
        <v>H9</v>
      </c>
      <c r="C107" s="21" t="str">
        <f>'VITA Index summary'!B86</f>
        <v>OM3-016_60 min</v>
      </c>
      <c r="D107" s="55" t="str">
        <f>IFERROR(ROUND('Cq and Delta Cq'!C83,2),"N/A")</f>
        <v>N/A</v>
      </c>
      <c r="E107" s="55" t="str">
        <f>IFERROR(ROUND('Cq and Delta Cq'!D83,2),"N/A")</f>
        <v>N/A</v>
      </c>
      <c r="F107" s="55">
        <f>IFERROR(ROUND('Cq and Delta Cq'!E83,2),"N/A")</f>
        <v>26.12</v>
      </c>
      <c r="G107" s="55">
        <f>IFERROR(ROUND('Cq and Delta Cq'!F83,2),"N/A")</f>
        <v>28.92</v>
      </c>
      <c r="H107" s="55">
        <f>IFERROR(ROUND('Cq and Delta Cq'!G83,2),"N/A")</f>
        <v>31.17</v>
      </c>
      <c r="J107" s="22" t="str">
        <f>'VITA Index summary'!C86</f>
        <v>CT not detected</v>
      </c>
      <c r="K107" s="56" t="str">
        <f>IF(AND('VITA Index summary'!C86="NG detected",'VITA Index summary'!D86="N/A"),"Indeterminate",IF(AND('VITA Index summary'!C86="NG detected",'VITA Index summary'!D86&lt;0.2),"Indeterminate",'VITA Index summary'!D86))</f>
        <v>N/A</v>
      </c>
      <c r="L107" s="26" t="str">
        <f>'VITA Index summary'!F86</f>
        <v>NG detected</v>
      </c>
      <c r="M107" s="56">
        <f>IF(AND('VITA Index summary'!F86="NG detected",'VITA Index summary'!G86="N/A"),"Indeterminate",IF(AND('VITA Index summary'!F86="NG detected",'VITA Index summary'!G86&lt;0.5),"Indeterminate",'VITA Index summary'!G86))</f>
        <v>2.371132969429036</v>
      </c>
      <c r="N107" s="57" t="str">
        <f>'VITA Index summary'!I86</f>
        <v>EC VALID</v>
      </c>
      <c r="O107" s="22" t="str" cm="1">
        <f t="array" ref="O107">CONCATENATE(_xlfn.IFS(N107="EC INVALID","Invalid EC, repeat test/re-extract sample",J107="CT not detected","CT not detected",K107="Indeterminate","CT detected, Indeterminate Viability",K107&gt;'VITA Index summary'!$O$8,"CT detected, Viable",K107&lt;0.2,"CT detected, Indeterminate Viability",K107&lt;='VITA Index summary'!$O$8,"CT detected, Non-viable"))</f>
        <v>CT not detected</v>
      </c>
      <c r="P107" s="22" t="str" cm="1">
        <f t="array" ref="P107">CONCATENATE(_xlfn.IFS(N107="EC INVALID","Invalid EC, repeat test/re-extract sample",L107="NG not detected","NG not detected",M107="Indeterminate", "NG detected, Indeterminate Viability", M107&gt;'VITA Index summary'!$O$7,"NG detected, Viable",M107&lt;0.5,"NG detected, Indeterminate Viability",M107&lt;='VITA Index summary'!$O$7,"NG detected, Non-viable"))</f>
        <v>NG detected, Viable</v>
      </c>
    </row>
    <row r="108" spans="2:16" x14ac:dyDescent="0.25">
      <c r="B108" s="21" t="str">
        <f>'VITA Index summary'!A87</f>
        <v>H10</v>
      </c>
      <c r="C108" s="21" t="str">
        <f>'VITA Index summary'!B87</f>
        <v>OM3-016_120 min</v>
      </c>
      <c r="D108" s="55" t="str">
        <f>IFERROR(ROUND('Cq and Delta Cq'!C84,2),"N/A")</f>
        <v>N/A</v>
      </c>
      <c r="E108" s="55" t="str">
        <f>IFERROR(ROUND('Cq and Delta Cq'!D84,2),"N/A")</f>
        <v>N/A</v>
      </c>
      <c r="F108" s="55">
        <f>IFERROR(ROUND('Cq and Delta Cq'!E84,2),"N/A")</f>
        <v>26.51</v>
      </c>
      <c r="G108" s="55">
        <f>IFERROR(ROUND('Cq and Delta Cq'!F84,2),"N/A")</f>
        <v>27.58</v>
      </c>
      <c r="H108" s="55">
        <f>IFERROR(ROUND('Cq and Delta Cq'!G84,2),"N/A")</f>
        <v>30.21</v>
      </c>
      <c r="J108" s="22" t="str">
        <f>'VITA Index summary'!C87</f>
        <v>CT not detected</v>
      </c>
      <c r="K108" s="56" t="str">
        <f>IF(AND('VITA Index summary'!C87="NG detected",'VITA Index summary'!D87="N/A"),"Indeterminate",IF(AND('VITA Index summary'!C87="NG detected",'VITA Index summary'!D87&lt;0.2),"Indeterminate",'VITA Index summary'!D87))</f>
        <v>N/A</v>
      </c>
      <c r="L108" s="26" t="str">
        <f>'VITA Index summary'!F87</f>
        <v>NG detected</v>
      </c>
      <c r="M108" s="56">
        <f>IF(AND('VITA Index summary'!F87="NG detected",'VITA Index summary'!G87="N/A"),"Indeterminate",IF(AND('VITA Index summary'!F87="NG detected",'VITA Index summary'!G87&lt;0.5),"Indeterminate",'VITA Index summary'!G87))</f>
        <v>3.0859876170625338</v>
      </c>
      <c r="N108" s="57" t="str">
        <f>'VITA Index summary'!I87</f>
        <v>EC VALID</v>
      </c>
      <c r="O108" s="22" t="str" cm="1">
        <f t="array" ref="O108">CONCATENATE(_xlfn.IFS(N108="EC INVALID","Invalid EC, repeat test/re-extract sample",J108="CT not detected","CT not detected",K108="Indeterminate","CT detected, Indeterminate Viability",K108&gt;'VITA Index summary'!$O$8,"CT detected, Viable",K108&lt;0.2,"CT detected, Indeterminate Viability",K108&lt;='VITA Index summary'!$O$8,"CT detected, Non-viable"))</f>
        <v>CT not detected</v>
      </c>
      <c r="P108" s="22" t="str" cm="1">
        <f t="array" ref="P108">CONCATENATE(_xlfn.IFS(N108="EC INVALID","Invalid EC, repeat test/re-extract sample",L108="NG not detected","NG not detected",M108="Indeterminate", "NG detected, Indeterminate Viability", M108&gt;'VITA Index summary'!$O$7,"NG detected, Viable",M108&lt;0.5,"NG detected, Indeterminate Viability",M108&lt;='VITA Index summary'!$O$7,"NG detected, Non-viable"))</f>
        <v>NG detected, Viable</v>
      </c>
    </row>
    <row r="109" spans="2:16" x14ac:dyDescent="0.25">
      <c r="B109" s="21" t="str">
        <f>'VITA Index summary'!A88</f>
        <v>H11</v>
      </c>
      <c r="C109" s="21" t="str">
        <f>'VITA Index summary'!B88</f>
        <v>vNG</v>
      </c>
      <c r="D109" s="55" t="str">
        <f>IFERROR(ROUND('Cq and Delta Cq'!C85,2),"N/A")</f>
        <v>N/A</v>
      </c>
      <c r="E109" s="55" t="str">
        <f>IFERROR(ROUND('Cq and Delta Cq'!D85,2),"N/A")</f>
        <v>N/A</v>
      </c>
      <c r="F109" s="55" t="str">
        <f>IFERROR(ROUND('Cq and Delta Cq'!E85,2),"N/A")</f>
        <v>N/A</v>
      </c>
      <c r="G109" s="55">
        <f>IFERROR(ROUND('Cq and Delta Cq'!F85,2),"N/A")</f>
        <v>16.47</v>
      </c>
      <c r="H109" s="55">
        <f>IFERROR(ROUND('Cq and Delta Cq'!G85,2),"N/A")</f>
        <v>24.22</v>
      </c>
      <c r="J109" s="22" t="str">
        <f>'VITA Index summary'!C88</f>
        <v>CT not detected</v>
      </c>
      <c r="K109" s="56" t="str">
        <f>IF(AND('VITA Index summary'!C88="NG detected",'VITA Index summary'!D88="N/A"),"Indeterminate",IF(AND('VITA Index summary'!C88="NG detected",'VITA Index summary'!D88&lt;0.2),"Indeterminate",'VITA Index summary'!D88))</f>
        <v>N/A</v>
      </c>
      <c r="L109" s="26" t="str">
        <f>'VITA Index summary'!F88</f>
        <v>NG detected</v>
      </c>
      <c r="M109" s="56">
        <f>IF(AND('VITA Index summary'!F88="NG detected",'VITA Index summary'!G88="N/A"),"Indeterminate",IF(AND('VITA Index summary'!F88="NG detected",'VITA Index summary'!G88&lt;0.5),"Indeterminate",'VITA Index summary'!G88))</f>
        <v>108.02933891801476</v>
      </c>
      <c r="N109" s="57" t="str">
        <f>'VITA Index summary'!I88</f>
        <v>EC INVALID</v>
      </c>
      <c r="O109" s="22" t="str" cm="1">
        <f t="array" ref="O109">CONCATENATE(_xlfn.IFS(N109="EC INVALID","Invalid EC, repeat test/re-extract sample",J109="CT not detected","CT not detected",K109="Indeterminate","CT detected, Indeterminate Viability",K109&gt;'VITA Index summary'!$O$8,"CT detected, Viable",K109&lt;0.2,"CT detected, Indeterminate Viability",K109&lt;='VITA Index summary'!$O$8,"CT detected, Non-viable"))</f>
        <v>Invalid EC, repeat test/re-extract sample</v>
      </c>
      <c r="P109" s="22" t="str" cm="1">
        <f t="array" ref="P109">CONCATENATE(_xlfn.IFS(N109="EC INVALID","Invalid EC, repeat test/re-extract sample",L109="NG not detected","NG not detected",M109="Indeterminate", "NG detected, Indeterminate Viability", M109&gt;'VITA Index summary'!$O$7,"NG detected, Viable",M109&lt;0.5,"NG detected, Indeterminate Viability",M109&lt;='VITA Index summary'!$O$7,"NG detected, Non-viable"))</f>
        <v>Invalid EC, repeat test/re-extract sample</v>
      </c>
    </row>
    <row r="110" spans="2:16" x14ac:dyDescent="0.25">
      <c r="B110" s="21" t="str">
        <f>'VITA Index summary'!A89</f>
        <v>H12</v>
      </c>
      <c r="C110" s="21" t="str">
        <f>'VITA Index summary'!B89</f>
        <v>nvNG</v>
      </c>
      <c r="D110" s="55" t="str">
        <f>IFERROR(ROUND('Cq and Delta Cq'!C86,2),"N/A")</f>
        <v>N/A</v>
      </c>
      <c r="E110" s="55" t="str">
        <f>IFERROR(ROUND('Cq and Delta Cq'!D86,2),"N/A")</f>
        <v>N/A</v>
      </c>
      <c r="F110" s="55" t="str">
        <f>IFERROR(ROUND('Cq and Delta Cq'!E86,2),"N/A")</f>
        <v>N/A</v>
      </c>
      <c r="G110" s="55">
        <f>IFERROR(ROUND('Cq and Delta Cq'!F86,2),"N/A")</f>
        <v>24.82</v>
      </c>
      <c r="H110" s="55">
        <f>IFERROR(ROUND('Cq and Delta Cq'!G86,2),"N/A")</f>
        <v>28.64</v>
      </c>
      <c r="J110" s="22" t="str">
        <f>'VITA Index summary'!C89</f>
        <v>CT not detected</v>
      </c>
      <c r="K110" s="56" t="str">
        <f>IF(AND('VITA Index summary'!C89="NG detected",'VITA Index summary'!D89="N/A"),"Indeterminate",IF(AND('VITA Index summary'!C89="NG detected",'VITA Index summary'!D89&lt;0.2),"Indeterminate",'VITA Index summary'!D89))</f>
        <v>N/A</v>
      </c>
      <c r="L110" s="26" t="str">
        <f>'VITA Index summary'!F89</f>
        <v>NG detected</v>
      </c>
      <c r="M110" s="56">
        <f>IF(AND('VITA Index summary'!F89="NG detected",'VITA Index summary'!G89="N/A"),"Indeterminate",IF(AND('VITA Index summary'!F89="NG detected",'VITA Index summary'!G89&lt;0.5),"Indeterminate",'VITA Index summary'!G89))</f>
        <v>7.0835062386063994</v>
      </c>
      <c r="N110" s="57" t="str">
        <f>'VITA Index summary'!I89</f>
        <v>EC INVALID</v>
      </c>
      <c r="O110" s="22" t="str" cm="1">
        <f t="array" ref="O110">CONCATENATE(_xlfn.IFS(N110="EC INVALID","Invalid EC, repeat test/re-extract sample",J110="CT not detected","CT not detected",K110="Indeterminate","CT detected, Indeterminate Viability",K110&gt;'VITA Index summary'!$O$8,"CT detected, Viable",K110&lt;0.2,"CT detected, Indeterminate Viability",K110&lt;='VITA Index summary'!$O$8,"CT detected, Non-viable"))</f>
        <v>Invalid EC, repeat test/re-extract sample</v>
      </c>
      <c r="P110" s="22" t="str" cm="1">
        <f t="array" ref="P110">CONCATENATE(_xlfn.IFS(N110="EC INVALID","Invalid EC, repeat test/re-extract sample",L110="NG not detected","NG not detected",M110="Indeterminate", "NG detected, Indeterminate Viability", M110&gt;'VITA Index summary'!$O$7,"NG detected, Viable",M110&lt;0.5,"NG detected, Indeterminate Viability",M110&lt;='VITA Index summary'!$O$7,"NG detected, Non-viable"))</f>
        <v>Invalid EC, repeat test/re-extract sample</v>
      </c>
    </row>
    <row r="111" spans="2:16" x14ac:dyDescent="0.25">
      <c r="B111" s="21">
        <f>'VITA Index summary'!A90</f>
        <v>0</v>
      </c>
      <c r="C111" s="21">
        <f>'VITA Index summary'!B90</f>
        <v>0</v>
      </c>
      <c r="D111" s="55" t="str">
        <f>IFERROR(ROUND('Cq and Delta Cq'!C87,2),"N/A")</f>
        <v>N/A</v>
      </c>
      <c r="E111" s="55" t="str">
        <f>IFERROR(ROUND('Cq and Delta Cq'!D87,2),"N/A")</f>
        <v>N/A</v>
      </c>
      <c r="F111" s="55" t="str">
        <f>IFERROR(ROUND('Cq and Delta Cq'!E87,2),"N/A")</f>
        <v>N/A</v>
      </c>
      <c r="G111" s="55" t="str">
        <f>IFERROR(ROUND('Cq and Delta Cq'!F87,2),"N/A")</f>
        <v>N/A</v>
      </c>
      <c r="H111" s="55" t="str">
        <f>IFERROR(ROUND('Cq and Delta Cq'!G87,2),"N/A")</f>
        <v>N/A</v>
      </c>
      <c r="J111" s="22" t="e">
        <f>'VITA Index summary'!C90</f>
        <v>#N/A</v>
      </c>
      <c r="K111" s="56" t="e">
        <f>IF(AND('VITA Index summary'!C90="NG detected",'VITA Index summary'!D90="N/A"),"Indeterminate",IF(AND('VITA Index summary'!C90="NG detected",'VITA Index summary'!D90&lt;0.2),"Indeterminate",'VITA Index summary'!D90))</f>
        <v>#N/A</v>
      </c>
      <c r="L111" s="26" t="e">
        <f>'VITA Index summary'!F90</f>
        <v>#N/A</v>
      </c>
      <c r="M111" s="56" t="e">
        <f>IF(AND('VITA Index summary'!F90="NG detected",'VITA Index summary'!G90="N/A"),"Indeterminate",IF(AND('VITA Index summary'!F90="NG detected",'VITA Index summary'!G90&lt;0.5),"Indeterminate",'VITA Index summary'!G90))</f>
        <v>#N/A</v>
      </c>
      <c r="N111" s="57" t="str">
        <f>'VITA Index summary'!I90</f>
        <v>EC INVALID</v>
      </c>
      <c r="O111" s="22" t="str" cm="1">
        <f t="array" ref="O111">CONCATENATE(_xlfn.IFS(N111="EC INVALID","Invalid EC, repeat test/re-extract sample",J111="CT not detected","CT not detected",K111="Indeterminate","CT detected, Indeterminate Viability",K111&gt;'VITA Index summary'!$O$8,"CT detected, Viable",K111&lt;0.2,"CT detected, Indeterminate Viability",K111&lt;='VITA Index summary'!$O$8,"CT detected, Non-viable"))</f>
        <v>Invalid EC, repeat test/re-extract sample</v>
      </c>
      <c r="P111" s="22" t="str" cm="1">
        <f t="array" ref="P111">CONCATENATE(_xlfn.IFS(N111="EC INVALID","Invalid EC, repeat test/re-extract sample",L111="NG not detected","NG not detected",M111="Indeterminate", "NG detected, Indeterminate Viability", M111&gt;'VITA Index summary'!$O$7,"NG detected, Viable",M111&lt;0.5,"NG detected, Indeterminate Viability",M111&lt;='VITA Index summary'!$O$7,"NG detected, Non-viable"))</f>
        <v>Invalid EC, repeat test/re-extract sample</v>
      </c>
    </row>
    <row r="112" spans="2:16" x14ac:dyDescent="0.25">
      <c r="B112" s="21">
        <f>'VITA Index summary'!A91</f>
        <v>0</v>
      </c>
      <c r="C112" s="21">
        <f>'VITA Index summary'!B91</f>
        <v>0</v>
      </c>
      <c r="D112" s="55" t="str">
        <f>IFERROR(ROUND('Cq and Delta Cq'!C88,2),"N/A")</f>
        <v>N/A</v>
      </c>
      <c r="E112" s="55" t="str">
        <f>IFERROR(ROUND('Cq and Delta Cq'!D88,2),"N/A")</f>
        <v>N/A</v>
      </c>
      <c r="F112" s="55" t="str">
        <f>IFERROR(ROUND('Cq and Delta Cq'!E88,2),"N/A")</f>
        <v>N/A</v>
      </c>
      <c r="G112" s="55" t="str">
        <f>IFERROR(ROUND('Cq and Delta Cq'!F88,2),"N/A")</f>
        <v>N/A</v>
      </c>
      <c r="H112" s="55" t="str">
        <f>IFERROR(ROUND('Cq and Delta Cq'!G88,2),"N/A")</f>
        <v>N/A</v>
      </c>
      <c r="J112" s="22" t="e">
        <f>'VITA Index summary'!C91</f>
        <v>#N/A</v>
      </c>
      <c r="K112" s="56" t="e">
        <f>IF(AND('VITA Index summary'!C91="NG detected",'VITA Index summary'!D91="N/A"),"Indeterminate",IF(AND('VITA Index summary'!C91="NG detected",'VITA Index summary'!D91&lt;0.2),"Indeterminate",'VITA Index summary'!D91))</f>
        <v>#N/A</v>
      </c>
      <c r="L112" s="26" t="e">
        <f>'VITA Index summary'!F91</f>
        <v>#N/A</v>
      </c>
      <c r="M112" s="56" t="e">
        <f>IF(AND('VITA Index summary'!F91="NG detected",'VITA Index summary'!G91="N/A"),"Indeterminate",IF(AND('VITA Index summary'!F91="NG detected",'VITA Index summary'!G91&lt;0.5),"Indeterminate",'VITA Index summary'!G91))</f>
        <v>#N/A</v>
      </c>
      <c r="N112" s="57" t="str">
        <f>'VITA Index summary'!I91</f>
        <v>EC INVALID</v>
      </c>
      <c r="O112" s="22" t="str" cm="1">
        <f t="array" ref="O112">CONCATENATE(_xlfn.IFS(N112="EC INVALID","Invalid EC, repeat test/re-extract sample",J112="CT not detected","CT not detected",K112="Indeterminate","CT detected, Indeterminate Viability",K112&gt;'VITA Index summary'!$O$8,"CT detected, Viable",K112&lt;0.2,"CT detected, Indeterminate Viability",K112&lt;='VITA Index summary'!$O$8,"CT detected, Non-viable"))</f>
        <v>Invalid EC, repeat test/re-extract sample</v>
      </c>
      <c r="P112" s="22" t="str" cm="1">
        <f t="array" ref="P112">CONCATENATE(_xlfn.IFS(N112="EC INVALID","Invalid EC, repeat test/re-extract sample",L112="NG not detected","NG not detected",M112="Indeterminate", "NG detected, Indeterminate Viability", M112&gt;'VITA Index summary'!$O$7,"NG detected, Viable",M112&lt;0.5,"NG detected, Indeterminate Viability",M112&lt;='VITA Index summary'!$O$7,"NG detected, Non-viable"))</f>
        <v>Invalid EC, repeat test/re-extract sample</v>
      </c>
    </row>
    <row r="113" spans="2:16" x14ac:dyDescent="0.25">
      <c r="B113" s="21">
        <f>'VITA Index summary'!A92</f>
        <v>0</v>
      </c>
      <c r="C113" s="21">
        <f>'VITA Index summary'!B92</f>
        <v>0</v>
      </c>
      <c r="D113" s="55" t="str">
        <f>IFERROR(ROUND('Cq and Delta Cq'!C89,2),"N/A")</f>
        <v>N/A</v>
      </c>
      <c r="E113" s="55" t="str">
        <f>IFERROR(ROUND('Cq and Delta Cq'!D89,2),"N/A")</f>
        <v>N/A</v>
      </c>
      <c r="F113" s="55" t="str">
        <f>IFERROR(ROUND('Cq and Delta Cq'!E89,2),"N/A")</f>
        <v>N/A</v>
      </c>
      <c r="G113" s="55" t="str">
        <f>IFERROR(ROUND('Cq and Delta Cq'!F89,2),"N/A")</f>
        <v>N/A</v>
      </c>
      <c r="H113" s="55" t="str">
        <f>IFERROR(ROUND('Cq and Delta Cq'!G89,2),"N/A")</f>
        <v>N/A</v>
      </c>
      <c r="J113" s="22" t="e">
        <f>'VITA Index summary'!C92</f>
        <v>#N/A</v>
      </c>
      <c r="K113" s="56" t="e">
        <f>IF(AND('VITA Index summary'!C92="NG detected",'VITA Index summary'!D92="N/A"),"Indeterminate",IF(AND('VITA Index summary'!C92="NG detected",'VITA Index summary'!D92&lt;0.2),"Indeterminate",'VITA Index summary'!D92))</f>
        <v>#N/A</v>
      </c>
      <c r="L113" s="26" t="e">
        <f>'VITA Index summary'!F92</f>
        <v>#N/A</v>
      </c>
      <c r="M113" s="56" t="e">
        <f>IF(AND('VITA Index summary'!F92="NG detected",'VITA Index summary'!G92="N/A"),"Indeterminate",IF(AND('VITA Index summary'!F92="NG detected",'VITA Index summary'!G92&lt;0.5),"Indeterminate",'VITA Index summary'!G92))</f>
        <v>#N/A</v>
      </c>
      <c r="N113" s="57" t="str">
        <f>'VITA Index summary'!I92</f>
        <v>EC INVALID</v>
      </c>
      <c r="O113" s="22" t="str" cm="1">
        <f t="array" ref="O113">CONCATENATE(_xlfn.IFS(N113="EC INVALID","Invalid EC, repeat test/re-extract sample",J113="CT not detected","CT not detected",K113="Indeterminate","CT detected, Indeterminate Viability",K113&gt;'VITA Index summary'!$O$8,"CT detected, Viable",K113&lt;0.2,"CT detected, Indeterminate Viability",K113&lt;='VITA Index summary'!$O$8,"CT detected, Non-viable"))</f>
        <v>Invalid EC, repeat test/re-extract sample</v>
      </c>
      <c r="P113" s="22" t="str" cm="1">
        <f t="array" ref="P113">CONCATENATE(_xlfn.IFS(N113="EC INVALID","Invalid EC, repeat test/re-extract sample",L113="NG not detected","NG not detected",M113="Indeterminate", "NG detected, Indeterminate Viability", M113&gt;'VITA Index summary'!$O$7,"NG detected, Viable",M113&lt;0.5,"NG detected, Indeterminate Viability",M113&lt;='VITA Index summary'!$O$7,"NG detected, Non-viable"))</f>
        <v>Invalid EC, repeat test/re-extract sample</v>
      </c>
    </row>
    <row r="114" spans="2:16" x14ac:dyDescent="0.25">
      <c r="B114" s="21">
        <f>'VITA Index summary'!A93</f>
        <v>0</v>
      </c>
      <c r="C114" s="21">
        <f>'VITA Index summary'!B93</f>
        <v>0</v>
      </c>
      <c r="D114" s="55" t="str">
        <f>IFERROR(ROUND('Cq and Delta Cq'!C90,2),"N/A")</f>
        <v>N/A</v>
      </c>
      <c r="E114" s="55" t="str">
        <f>IFERROR(ROUND('Cq and Delta Cq'!D90,2),"N/A")</f>
        <v>N/A</v>
      </c>
      <c r="F114" s="55" t="str">
        <f>IFERROR(ROUND('Cq and Delta Cq'!E90,2),"N/A")</f>
        <v>N/A</v>
      </c>
      <c r="G114" s="55" t="str">
        <f>IFERROR(ROUND('Cq and Delta Cq'!F90,2),"N/A")</f>
        <v>N/A</v>
      </c>
      <c r="H114" s="55" t="str">
        <f>IFERROR(ROUND('Cq and Delta Cq'!G90,2),"N/A")</f>
        <v>N/A</v>
      </c>
      <c r="J114" s="22" t="e">
        <f>'VITA Index summary'!C93</f>
        <v>#N/A</v>
      </c>
      <c r="K114" s="56" t="e">
        <f>IF(AND('VITA Index summary'!C93="NG detected",'VITA Index summary'!D93="N/A"),"Indeterminate",IF(AND('VITA Index summary'!C93="NG detected",'VITA Index summary'!D93&lt;0.2),"Indeterminate",'VITA Index summary'!D93))</f>
        <v>#N/A</v>
      </c>
      <c r="L114" s="26" t="e">
        <f>'VITA Index summary'!F93</f>
        <v>#N/A</v>
      </c>
      <c r="M114" s="56" t="e">
        <f>IF(AND('VITA Index summary'!F93="NG detected",'VITA Index summary'!G93="N/A"),"Indeterminate",IF(AND('VITA Index summary'!F93="NG detected",'VITA Index summary'!G93&lt;0.5),"Indeterminate",'VITA Index summary'!G93))</f>
        <v>#N/A</v>
      </c>
      <c r="N114" s="57" t="str">
        <f>'VITA Index summary'!I93</f>
        <v>EC INVALID</v>
      </c>
      <c r="O114" s="22" t="str" cm="1">
        <f t="array" ref="O114">CONCATENATE(_xlfn.IFS(N114="EC INVALID","Invalid EC, repeat test/re-extract sample",J114="CT not detected","CT not detected",K114="Indeterminate","CT detected, Indeterminate Viability",K114&gt;'VITA Index summary'!$O$8,"CT detected, Viable",K114&lt;0.2,"CT detected, Indeterminate Viability",K114&lt;='VITA Index summary'!$O$8,"CT detected, Non-viable"))</f>
        <v>Invalid EC, repeat test/re-extract sample</v>
      </c>
      <c r="P114" s="22" t="str" cm="1">
        <f t="array" ref="P114">CONCATENATE(_xlfn.IFS(N114="EC INVALID","Invalid EC, repeat test/re-extract sample",L114="NG not detected","NG not detected",M114="Indeterminate", "NG detected, Indeterminate Viability", M114&gt;'VITA Index summary'!$O$7,"NG detected, Viable",M114&lt;0.5,"NG detected, Indeterminate Viability",M114&lt;='VITA Index summary'!$O$7,"NG detected, Non-viable"))</f>
        <v>Invalid EC, repeat test/re-extract sample</v>
      </c>
    </row>
    <row r="115" spans="2:16" x14ac:dyDescent="0.25">
      <c r="B115" s="21">
        <f>'VITA Index summary'!A94</f>
        <v>0</v>
      </c>
      <c r="C115" s="21">
        <f>'VITA Index summary'!B94</f>
        <v>0</v>
      </c>
      <c r="D115" s="55" t="str">
        <f>IFERROR(ROUND('Cq and Delta Cq'!C91,2),"N/A")</f>
        <v>N/A</v>
      </c>
      <c r="E115" s="55" t="str">
        <f>IFERROR(ROUND('Cq and Delta Cq'!D91,2),"N/A")</f>
        <v>N/A</v>
      </c>
      <c r="F115" s="55" t="str">
        <f>IFERROR(ROUND('Cq and Delta Cq'!E91,2),"N/A")</f>
        <v>N/A</v>
      </c>
      <c r="G115" s="55" t="str">
        <f>IFERROR(ROUND('Cq and Delta Cq'!F91,2),"N/A")</f>
        <v>N/A</v>
      </c>
      <c r="H115" s="55" t="str">
        <f>IFERROR(ROUND('Cq and Delta Cq'!G91,2),"N/A")</f>
        <v>N/A</v>
      </c>
      <c r="J115" s="22" t="e">
        <f>'VITA Index summary'!C94</f>
        <v>#N/A</v>
      </c>
      <c r="K115" s="56" t="e">
        <f>IF(AND('VITA Index summary'!C94="NG detected",'VITA Index summary'!D94="N/A"),"Indeterminate",IF(AND('VITA Index summary'!C94="NG detected",'VITA Index summary'!D94&lt;0.2),"Indeterminate",'VITA Index summary'!D94))</f>
        <v>#N/A</v>
      </c>
      <c r="L115" s="26" t="e">
        <f>'VITA Index summary'!F94</f>
        <v>#N/A</v>
      </c>
      <c r="M115" s="56" t="e">
        <f>IF(AND('VITA Index summary'!F94="NG detected",'VITA Index summary'!G94="N/A"),"Indeterminate",IF(AND('VITA Index summary'!F94="NG detected",'VITA Index summary'!G94&lt;0.5),"Indeterminate",'VITA Index summary'!G94))</f>
        <v>#N/A</v>
      </c>
      <c r="N115" s="57" t="str">
        <f>'VITA Index summary'!I94</f>
        <v>EC INVALID</v>
      </c>
      <c r="O115" s="22" t="str" cm="1">
        <f t="array" ref="O115">CONCATENATE(_xlfn.IFS(N115="EC INVALID","Invalid EC, repeat test/re-extract sample",J115="CT not detected","CT not detected",K115="Indeterminate","CT detected, Indeterminate Viability",K115&gt;'VITA Index summary'!$O$8,"CT detected, Viable",K115&lt;0.2,"CT detected, Indeterminate Viability",K115&lt;='VITA Index summary'!$O$8,"CT detected, Non-viable"))</f>
        <v>Invalid EC, repeat test/re-extract sample</v>
      </c>
      <c r="P115" s="22" t="str" cm="1">
        <f t="array" ref="P115">CONCATENATE(_xlfn.IFS(N115="EC INVALID","Invalid EC, repeat test/re-extract sample",L115="NG not detected","NG not detected",M115="Indeterminate", "NG detected, Indeterminate Viability", M115&gt;'VITA Index summary'!$O$7,"NG detected, Viable",M115&lt;0.5,"NG detected, Indeterminate Viability",M115&lt;='VITA Index summary'!$O$7,"NG detected, Non-viable"))</f>
        <v>Invalid EC, repeat test/re-extract sample</v>
      </c>
    </row>
    <row r="116" spans="2:16" x14ac:dyDescent="0.25">
      <c r="B116" s="21">
        <f>'VITA Index summary'!A95</f>
        <v>0</v>
      </c>
      <c r="C116" s="21">
        <f>'VITA Index summary'!B95</f>
        <v>0</v>
      </c>
      <c r="D116" s="55" t="str">
        <f>IFERROR(ROUND('Cq and Delta Cq'!C92,2),"N/A")</f>
        <v>N/A</v>
      </c>
      <c r="E116" s="55" t="str">
        <f>IFERROR(ROUND('Cq and Delta Cq'!D92,2),"N/A")</f>
        <v>N/A</v>
      </c>
      <c r="F116" s="55" t="str">
        <f>IFERROR(ROUND('Cq and Delta Cq'!E92,2),"N/A")</f>
        <v>N/A</v>
      </c>
      <c r="G116" s="55" t="str">
        <f>IFERROR(ROUND('Cq and Delta Cq'!F92,2),"N/A")</f>
        <v>N/A</v>
      </c>
      <c r="H116" s="55" t="str">
        <f>IFERROR(ROUND('Cq and Delta Cq'!G92,2),"N/A")</f>
        <v>N/A</v>
      </c>
      <c r="J116" s="22" t="e">
        <f>'VITA Index summary'!C95</f>
        <v>#N/A</v>
      </c>
      <c r="K116" s="56" t="e">
        <f>IF(AND('VITA Index summary'!C95="NG detected",'VITA Index summary'!D95="N/A"),"Indeterminate",IF(AND('VITA Index summary'!C95="NG detected",'VITA Index summary'!D95&lt;0.2),"Indeterminate",'VITA Index summary'!D95))</f>
        <v>#N/A</v>
      </c>
      <c r="L116" s="26" t="e">
        <f>'VITA Index summary'!F95</f>
        <v>#N/A</v>
      </c>
      <c r="M116" s="56" t="e">
        <f>IF(AND('VITA Index summary'!F95="NG detected",'VITA Index summary'!G95="N/A"),"Indeterminate",IF(AND('VITA Index summary'!F95="NG detected",'VITA Index summary'!G95&lt;0.5),"Indeterminate",'VITA Index summary'!G95))</f>
        <v>#N/A</v>
      </c>
      <c r="N116" s="57" t="str">
        <f>'VITA Index summary'!I95</f>
        <v>EC INVALID</v>
      </c>
      <c r="O116" s="22" t="str" cm="1">
        <f t="array" ref="O116">CONCATENATE(_xlfn.IFS(N116="EC INVALID","Invalid EC, repeat test/re-extract sample",J116="CT not detected","CT not detected",K116="Indeterminate","CT detected, Indeterminate Viability",K116&gt;'VITA Index summary'!$O$8,"CT detected, Viable",K116&lt;0.2,"CT detected, Indeterminate Viability",K116&lt;='VITA Index summary'!$O$8,"CT detected, Non-viable"))</f>
        <v>Invalid EC, repeat test/re-extract sample</v>
      </c>
      <c r="P116" s="22" t="str" cm="1">
        <f t="array" ref="P116">CONCATENATE(_xlfn.IFS(N116="EC INVALID","Invalid EC, repeat test/re-extract sample",L116="NG not detected","NG not detected",M116="Indeterminate", "NG detected, Indeterminate Viability", M116&gt;'VITA Index summary'!$O$7,"NG detected, Viable",M116&lt;0.5,"NG detected, Indeterminate Viability",M116&lt;='VITA Index summary'!$O$7,"NG detected, Non-viable"))</f>
        <v>Invalid EC, repeat test/re-extract sample</v>
      </c>
    </row>
    <row r="117" spans="2:16" x14ac:dyDescent="0.25">
      <c r="B117" s="21">
        <f>'VITA Index summary'!A96</f>
        <v>0</v>
      </c>
      <c r="C117" s="21">
        <f>'VITA Index summary'!B96</f>
        <v>0</v>
      </c>
      <c r="D117" s="55" t="str">
        <f>IFERROR(ROUND('Cq and Delta Cq'!C93,2),"N/A")</f>
        <v>N/A</v>
      </c>
      <c r="E117" s="55" t="str">
        <f>IFERROR(ROUND('Cq and Delta Cq'!D93,2),"N/A")</f>
        <v>N/A</v>
      </c>
      <c r="F117" s="55" t="str">
        <f>IFERROR(ROUND('Cq and Delta Cq'!E93,2),"N/A")</f>
        <v>N/A</v>
      </c>
      <c r="G117" s="55" t="str">
        <f>IFERROR(ROUND('Cq and Delta Cq'!F93,2),"N/A")</f>
        <v>N/A</v>
      </c>
      <c r="H117" s="55" t="str">
        <f>IFERROR(ROUND('Cq and Delta Cq'!G93,2),"N/A")</f>
        <v>N/A</v>
      </c>
      <c r="J117" s="22" t="e">
        <f>'VITA Index summary'!C96</f>
        <v>#N/A</v>
      </c>
      <c r="K117" s="56" t="e">
        <f>IF(AND('VITA Index summary'!C96="NG detected",'VITA Index summary'!D96="N/A"),"Indeterminate",IF(AND('VITA Index summary'!C96="NG detected",'VITA Index summary'!D96&lt;0.2),"Indeterminate",'VITA Index summary'!D96))</f>
        <v>#N/A</v>
      </c>
      <c r="L117" s="26" t="e">
        <f>'VITA Index summary'!F96</f>
        <v>#N/A</v>
      </c>
      <c r="M117" s="56" t="e">
        <f>IF(AND('VITA Index summary'!F96="NG detected",'VITA Index summary'!G96="N/A"),"Indeterminate",IF(AND('VITA Index summary'!F96="NG detected",'VITA Index summary'!G96&lt;0.5),"Indeterminate",'VITA Index summary'!G96))</f>
        <v>#N/A</v>
      </c>
      <c r="N117" s="57" t="str">
        <f>'VITA Index summary'!I96</f>
        <v>EC INVALID</v>
      </c>
      <c r="O117" s="22" t="str" cm="1">
        <f t="array" ref="O117">CONCATENATE(_xlfn.IFS(N117="EC INVALID","Invalid EC, repeat test/re-extract sample",J117="CT not detected","CT not detected",K117="Indeterminate","CT detected, Indeterminate Viability",K117&gt;'VITA Index summary'!$O$8,"CT detected, Viable",K117&lt;0.2,"CT detected, Indeterminate Viability",K117&lt;='VITA Index summary'!$O$8,"CT detected, Non-viable"))</f>
        <v>Invalid EC, repeat test/re-extract sample</v>
      </c>
      <c r="P117" s="22" t="str" cm="1">
        <f t="array" ref="P117">CONCATENATE(_xlfn.IFS(N117="EC INVALID","Invalid EC, repeat test/re-extract sample",L117="NG not detected","NG not detected",M117="Indeterminate", "NG detected, Indeterminate Viability", M117&gt;'VITA Index summary'!$O$7,"NG detected, Viable",M117&lt;0.5,"NG detected, Indeterminate Viability",M117&lt;='VITA Index summary'!$O$7,"NG detected, Non-viable"))</f>
        <v>Invalid EC, repeat test/re-extract sample</v>
      </c>
    </row>
    <row r="118" spans="2:16" x14ac:dyDescent="0.25">
      <c r="B118" s="21">
        <f>'VITA Index summary'!A97</f>
        <v>0</v>
      </c>
      <c r="C118" s="21">
        <f>'VITA Index summary'!B97</f>
        <v>0</v>
      </c>
      <c r="D118" s="55" t="str">
        <f>IFERROR(ROUND('Cq and Delta Cq'!C94,2),"N/A")</f>
        <v>N/A</v>
      </c>
      <c r="E118" s="55" t="str">
        <f>IFERROR(ROUND('Cq and Delta Cq'!D94,2),"N/A")</f>
        <v>N/A</v>
      </c>
      <c r="F118" s="55" t="str">
        <f>IFERROR(ROUND('Cq and Delta Cq'!E94,2),"N/A")</f>
        <v>N/A</v>
      </c>
      <c r="G118" s="55" t="str">
        <f>IFERROR(ROUND('Cq and Delta Cq'!F94,2),"N/A")</f>
        <v>N/A</v>
      </c>
      <c r="H118" s="55" t="str">
        <f>IFERROR(ROUND('Cq and Delta Cq'!G94,2),"N/A")</f>
        <v>N/A</v>
      </c>
      <c r="J118" s="22" t="e">
        <f>'VITA Index summary'!C97</f>
        <v>#N/A</v>
      </c>
      <c r="K118" s="56" t="e">
        <f>IF(AND('VITA Index summary'!C97="NG detected",'VITA Index summary'!D97="N/A"),"Indeterminate",IF(AND('VITA Index summary'!C97="NG detected",'VITA Index summary'!D97&lt;0.2),"Indeterminate",'VITA Index summary'!D97))</f>
        <v>#N/A</v>
      </c>
      <c r="L118" s="26" t="e">
        <f>'VITA Index summary'!F97</f>
        <v>#N/A</v>
      </c>
      <c r="M118" s="56" t="e">
        <f>IF(AND('VITA Index summary'!F97="NG detected",'VITA Index summary'!G97="N/A"),"Indeterminate",IF(AND('VITA Index summary'!F97="NG detected",'VITA Index summary'!G97&lt;0.5),"Indeterminate",'VITA Index summary'!G97))</f>
        <v>#N/A</v>
      </c>
      <c r="N118" s="57" t="str">
        <f>'VITA Index summary'!I97</f>
        <v>EC INVALID</v>
      </c>
      <c r="O118" s="22" t="str" cm="1">
        <f t="array" ref="O118">CONCATENATE(_xlfn.IFS(N118="EC INVALID","Invalid EC, repeat test/re-extract sample",J118="CT not detected","CT not detected",K118="Indeterminate","CT detected, Indeterminate Viability",K118&gt;'VITA Index summary'!$O$8,"CT detected, Viable",K118&lt;0.2,"CT detected, Indeterminate Viability",K118&lt;='VITA Index summary'!$O$8,"CT detected, Non-viable"))</f>
        <v>Invalid EC, repeat test/re-extract sample</v>
      </c>
      <c r="P118" s="22" t="str" cm="1">
        <f t="array" ref="P118">CONCATENATE(_xlfn.IFS(N118="EC INVALID","Invalid EC, repeat test/re-extract sample",L118="NG not detected","NG not detected",M118="Indeterminate", "NG detected, Indeterminate Viability", M118&gt;'VITA Index summary'!$O$7,"NG detected, Viable",M118&lt;0.5,"NG detected, Indeterminate Viability",M118&lt;='VITA Index summary'!$O$7,"NG detected, Non-viable"))</f>
        <v>Invalid EC, repeat test/re-extract sample</v>
      </c>
    </row>
    <row r="119" spans="2:16" x14ac:dyDescent="0.25">
      <c r="B119" s="21">
        <f>'VITA Index summary'!A98</f>
        <v>0</v>
      </c>
      <c r="C119" s="21">
        <f>'VITA Index summary'!B98</f>
        <v>0</v>
      </c>
      <c r="D119" s="55" t="str">
        <f>IFERROR(ROUND('Cq and Delta Cq'!C95,2),"N/A")</f>
        <v>N/A</v>
      </c>
      <c r="E119" s="55" t="str">
        <f>IFERROR(ROUND('Cq and Delta Cq'!D95,2),"N/A")</f>
        <v>N/A</v>
      </c>
      <c r="F119" s="55" t="str">
        <f>IFERROR(ROUND('Cq and Delta Cq'!E95,2),"N/A")</f>
        <v>N/A</v>
      </c>
      <c r="G119" s="55" t="str">
        <f>IFERROR(ROUND('Cq and Delta Cq'!F95,2),"N/A")</f>
        <v>N/A</v>
      </c>
      <c r="H119" s="55" t="str">
        <f>IFERROR(ROUND('Cq and Delta Cq'!G95,2),"N/A")</f>
        <v>N/A</v>
      </c>
      <c r="J119" s="22" t="e">
        <f>'VITA Index summary'!C98</f>
        <v>#N/A</v>
      </c>
      <c r="K119" s="56" t="e">
        <f>IF(AND('VITA Index summary'!C98="NG detected",'VITA Index summary'!D98="N/A"),"Indeterminate",IF(AND('VITA Index summary'!C98="NG detected",'VITA Index summary'!D98&lt;0.2),"Indeterminate",'VITA Index summary'!D98))</f>
        <v>#N/A</v>
      </c>
      <c r="L119" s="26" t="e">
        <f>'VITA Index summary'!F98</f>
        <v>#N/A</v>
      </c>
      <c r="M119" s="56" t="e">
        <f>IF(AND('VITA Index summary'!F98="NG detected",'VITA Index summary'!G98="N/A"),"Indeterminate",IF(AND('VITA Index summary'!F98="NG detected",'VITA Index summary'!G98&lt;0.5),"Indeterminate",'VITA Index summary'!G98))</f>
        <v>#N/A</v>
      </c>
      <c r="N119" s="57" t="str">
        <f>'VITA Index summary'!I98</f>
        <v>EC INVALID</v>
      </c>
      <c r="O119" s="22" t="str" cm="1">
        <f t="array" ref="O119">CONCATENATE(_xlfn.IFS(N119="EC INVALID","Invalid EC, repeat test/re-extract sample",J119="CT not detected","CT not detected",K119="Indeterminate","CT detected, Indeterminate Viability",K119&gt;'VITA Index summary'!$O$8,"CT detected, Viable",K119&lt;0.2,"CT detected, Indeterminate Viability",K119&lt;='VITA Index summary'!$O$8,"CT detected, Non-viable"))</f>
        <v>Invalid EC, repeat test/re-extract sample</v>
      </c>
      <c r="P119" s="22" t="str" cm="1">
        <f t="array" ref="P119">CONCATENATE(_xlfn.IFS(N119="EC INVALID","Invalid EC, repeat test/re-extract sample",L119="NG not detected","NG not detected",M119="Indeterminate", "NG detected, Indeterminate Viability", M119&gt;'VITA Index summary'!$O$7,"NG detected, Viable",M119&lt;0.5,"NG detected, Indeterminate Viability",M119&lt;='VITA Index summary'!$O$7,"NG detected, Non-viable"))</f>
        <v>Invalid EC, repeat test/re-extract sample</v>
      </c>
    </row>
    <row r="120" spans="2:16" x14ac:dyDescent="0.25">
      <c r="B120" s="21">
        <f>'VITA Index summary'!A99</f>
        <v>0</v>
      </c>
      <c r="C120" s="21">
        <f>'VITA Index summary'!B99</f>
        <v>0</v>
      </c>
      <c r="D120" s="55" t="str">
        <f>IFERROR(ROUND('Cq and Delta Cq'!C96,2),"N/A")</f>
        <v>N/A</v>
      </c>
      <c r="E120" s="55" t="str">
        <f>IFERROR(ROUND('Cq and Delta Cq'!D96,2),"N/A")</f>
        <v>N/A</v>
      </c>
      <c r="F120" s="55" t="str">
        <f>IFERROR(ROUND('Cq and Delta Cq'!E96,2),"N/A")</f>
        <v>N/A</v>
      </c>
      <c r="G120" s="55" t="str">
        <f>IFERROR(ROUND('Cq and Delta Cq'!F96,2),"N/A")</f>
        <v>N/A</v>
      </c>
      <c r="H120" s="55" t="str">
        <f>IFERROR(ROUND('Cq and Delta Cq'!G96,2),"N/A")</f>
        <v>N/A</v>
      </c>
      <c r="J120" s="22" t="e">
        <f>'VITA Index summary'!C99</f>
        <v>#N/A</v>
      </c>
      <c r="K120" s="56" t="e">
        <f>IF(AND('VITA Index summary'!C99="NG detected",'VITA Index summary'!D99="N/A"),"Indeterminate",IF(AND('VITA Index summary'!C99="NG detected",'VITA Index summary'!D99&lt;0.2),"Indeterminate",'VITA Index summary'!D99))</f>
        <v>#N/A</v>
      </c>
      <c r="L120" s="26" t="e">
        <f>'VITA Index summary'!F99</f>
        <v>#N/A</v>
      </c>
      <c r="M120" s="56" t="e">
        <f>IF(AND('VITA Index summary'!F99="NG detected",'VITA Index summary'!G99="N/A"),"Indeterminate",IF(AND('VITA Index summary'!F99="NG detected",'VITA Index summary'!G99&lt;0.5),"Indeterminate",'VITA Index summary'!G99))</f>
        <v>#N/A</v>
      </c>
      <c r="N120" s="57" t="str">
        <f>'VITA Index summary'!I99</f>
        <v>EC INVALID</v>
      </c>
      <c r="O120" s="22" t="str" cm="1">
        <f t="array" ref="O120">CONCATENATE(_xlfn.IFS(N120="EC INVALID","Invalid EC, repeat test/re-extract sample",J120="CT not detected","CT not detected",K120="Indeterminate","CT detected, Indeterminate Viability",K120&gt;'VITA Index summary'!$O$8,"CT detected, Viable",K120&lt;0.2,"CT detected, Indeterminate Viability",K120&lt;='VITA Index summary'!$O$8,"CT detected, Non-viable"))</f>
        <v>Invalid EC, repeat test/re-extract sample</v>
      </c>
      <c r="P120" s="22" t="str" cm="1">
        <f t="array" ref="P120">CONCATENATE(_xlfn.IFS(N120="EC INVALID","Invalid EC, repeat test/re-extract sample",L120="NG not detected","NG not detected",M120="Indeterminate", "NG detected, Indeterminate Viability", M120&gt;'VITA Index summary'!$O$7,"NG detected, Viable",M120&lt;0.5,"NG detected, Indeterminate Viability",M120&lt;='VITA Index summary'!$O$7,"NG detected, Non-viable"))</f>
        <v>Invalid EC, repeat test/re-extract sample</v>
      </c>
    </row>
    <row r="121" spans="2:16" x14ac:dyDescent="0.25">
      <c r="B121" s="21">
        <f>'VITA Index summary'!A100</f>
        <v>0</v>
      </c>
      <c r="C121" s="21">
        <f>'VITA Index summary'!B100</f>
        <v>0</v>
      </c>
      <c r="D121" s="55" t="str">
        <f>IFERROR(ROUND('Cq and Delta Cq'!C97,2),"N/A")</f>
        <v>N/A</v>
      </c>
      <c r="E121" s="55" t="str">
        <f>IFERROR(ROUND('Cq and Delta Cq'!D97,2),"N/A")</f>
        <v>N/A</v>
      </c>
      <c r="F121" s="55" t="str">
        <f>IFERROR(ROUND('Cq and Delta Cq'!E97,2),"N/A")</f>
        <v>N/A</v>
      </c>
      <c r="G121" s="55" t="str">
        <f>IFERROR(ROUND('Cq and Delta Cq'!F97,2),"N/A")</f>
        <v>N/A</v>
      </c>
      <c r="H121" s="55" t="str">
        <f>IFERROR(ROUND('Cq and Delta Cq'!G97,2),"N/A")</f>
        <v>N/A</v>
      </c>
      <c r="J121" s="22" t="e">
        <f>'VITA Index summary'!C100</f>
        <v>#N/A</v>
      </c>
      <c r="K121" s="56" t="e">
        <f>IF(AND('VITA Index summary'!C100="NG detected",'VITA Index summary'!D100="N/A"),"Indeterminate",IF(AND('VITA Index summary'!C100="NG detected",'VITA Index summary'!D100&lt;0.2),"Indeterminate",'VITA Index summary'!D100))</f>
        <v>#N/A</v>
      </c>
      <c r="L121" s="26" t="e">
        <f>'VITA Index summary'!F100</f>
        <v>#N/A</v>
      </c>
      <c r="M121" s="56" t="e">
        <f>IF(AND('VITA Index summary'!F100="NG detected",'VITA Index summary'!G100="N/A"),"Indeterminate",IF(AND('VITA Index summary'!F100="NG detected",'VITA Index summary'!G100&lt;0.5),"Indeterminate",'VITA Index summary'!G100))</f>
        <v>#N/A</v>
      </c>
      <c r="N121" s="57" t="str">
        <f>'VITA Index summary'!I100</f>
        <v>EC INVALID</v>
      </c>
      <c r="O121" s="22" t="str" cm="1">
        <f t="array" ref="O121">CONCATENATE(_xlfn.IFS(N121="EC INVALID","Invalid EC, repeat test/re-extract sample",J121="CT not detected","CT not detected",K121="Indeterminate","CT detected, Indeterminate Viability",K121&gt;'VITA Index summary'!$O$8,"CT detected, Viable",K121&lt;0.2,"CT detected, Indeterminate Viability",K121&lt;='VITA Index summary'!$O$8,"CT detected, Non-viable"))</f>
        <v>Invalid EC, repeat test/re-extract sample</v>
      </c>
      <c r="P121" s="22" t="str" cm="1">
        <f t="array" ref="P121">CONCATENATE(_xlfn.IFS(N121="EC INVALID","Invalid EC, repeat test/re-extract sample",L121="NG not detected","NG not detected",M121="Indeterminate", "NG detected, Indeterminate Viability", M121&gt;'VITA Index summary'!$O$7,"NG detected, Viable",M121&lt;0.5,"NG detected, Indeterminate Viability",M121&lt;='VITA Index summary'!$O$7,"NG detected, Non-viable"))</f>
        <v>Invalid EC, repeat test/re-extract sample</v>
      </c>
    </row>
  </sheetData>
  <sheetProtection selectLockedCells="1" selectUnlockedCells="1"/>
  <conditionalFormatting sqref="B26:B121">
    <cfRule type="containsText" dxfId="34" priority="184" operator="containsText" text="Check sample input">
      <formula>NOT(ISERROR(SEARCH("Check sample input",B26)))</formula>
    </cfRule>
  </conditionalFormatting>
  <conditionalFormatting sqref="D12:D17 F12:F17">
    <cfRule type="cellIs" dxfId="33" priority="47" operator="equal">
      <formula>"NG not detected"</formula>
    </cfRule>
    <cfRule type="cellIs" dxfId="32" priority="48" operator="equal">
      <formula>"NG detected"</formula>
    </cfRule>
  </conditionalFormatting>
  <conditionalFormatting sqref="D12:D17 F14:F17">
    <cfRule type="cellIs" dxfId="31" priority="46" operator="equal">
      <formula>"CT not detected"</formula>
    </cfRule>
    <cfRule type="cellIs" dxfId="30" priority="45" operator="equal">
      <formula>"CT detected"</formula>
    </cfRule>
  </conditionalFormatting>
  <conditionalFormatting sqref="E12:E17">
    <cfRule type="cellIs" dxfId="29" priority="24" operator="lessThanOrEqual">
      <formula>1.5</formula>
    </cfRule>
    <cfRule type="cellIs" dxfId="28" priority="23" operator="greaterThan">
      <formula>1.5</formula>
    </cfRule>
  </conditionalFormatting>
  <conditionalFormatting sqref="G12:G17 E12:E17">
    <cfRule type="cellIs" dxfId="27" priority="12" operator="equal">
      <formula>"CT NED not detected"</formula>
    </cfRule>
    <cfRule type="cellIs" dxfId="26" priority="13" operator="equal">
      <formula>"N/A"</formula>
    </cfRule>
    <cfRule type="cellIs" dxfId="25" priority="14" operator="equal">
      <formula>"NG NED not detected"</formula>
    </cfRule>
  </conditionalFormatting>
  <conditionalFormatting sqref="G12:G17">
    <cfRule type="cellIs" dxfId="24" priority="43" operator="greaterThan">
      <formula>2.4</formula>
    </cfRule>
    <cfRule type="cellIs" dxfId="23" priority="44" operator="lessThanOrEqual">
      <formula>2.4</formula>
    </cfRule>
  </conditionalFormatting>
  <conditionalFormatting sqref="G14:G15">
    <cfRule type="cellIs" dxfId="22" priority="8" operator="greaterThan">
      <formula>1.5</formula>
    </cfRule>
    <cfRule type="cellIs" dxfId="21" priority="9" operator="lessThanOrEqual">
      <formula>1.5</formula>
    </cfRule>
  </conditionalFormatting>
  <conditionalFormatting sqref="H12:H17">
    <cfRule type="containsText" dxfId="20" priority="15" operator="containsText" text="EC VALID">
      <formula>NOT(ISERROR(SEARCH("EC VALID",H12)))</formula>
    </cfRule>
    <cfRule type="containsText" dxfId="19" priority="16" operator="containsText" text="EC INVALID">
      <formula>NOT(ISERROR(SEARCH("EC INVALID",H12)))</formula>
    </cfRule>
  </conditionalFormatting>
  <conditionalFormatting sqref="J26:J121">
    <cfRule type="cellIs" dxfId="18" priority="172" operator="equal">
      <formula>"CT detected"</formula>
    </cfRule>
    <cfRule type="cellIs" dxfId="17" priority="173" operator="equal">
      <formula>"CT not detected"</formula>
    </cfRule>
  </conditionalFormatting>
  <conditionalFormatting sqref="K26:K121">
    <cfRule type="cellIs" dxfId="16" priority="4" operator="equal">
      <formula>"N/A"</formula>
    </cfRule>
    <cfRule type="cellIs" dxfId="15" priority="5" operator="equal">
      <formula>"NG NED not detected"</formula>
    </cfRule>
    <cfRule type="cellIs" dxfId="12" priority="2" operator="equal">
      <formula>"CT NED not detected"</formula>
    </cfRule>
  </conditionalFormatting>
  <conditionalFormatting sqref="L26:L121">
    <cfRule type="cellIs" dxfId="11" priority="174" operator="equal">
      <formula>"NG not detected"</formula>
    </cfRule>
    <cfRule type="cellIs" dxfId="10" priority="175" operator="equal">
      <formula>"NG detected"</formula>
    </cfRule>
  </conditionalFormatting>
  <conditionalFormatting sqref="L18:M23">
    <cfRule type="cellIs" dxfId="9" priority="25" operator="equal">
      <formula>"IC VALID"</formula>
    </cfRule>
    <cfRule type="cellIs" dxfId="8" priority="26" operator="equal">
      <formula>"IC INVALID"</formula>
    </cfRule>
  </conditionalFormatting>
  <conditionalFormatting sqref="M26:M121">
    <cfRule type="cellIs" dxfId="5" priority="20" operator="equal">
      <formula>"NG NED not detected"</formula>
    </cfRule>
    <cfRule type="cellIs" dxfId="4" priority="19" operator="equal">
      <formula>"N/A"</formula>
    </cfRule>
  </conditionalFormatting>
  <conditionalFormatting sqref="N23">
    <cfRule type="cellIs" dxfId="3" priority="50" operator="equal">
      <formula>"INVALID"</formula>
    </cfRule>
  </conditionalFormatting>
  <conditionalFormatting sqref="N26:N121">
    <cfRule type="cellIs" dxfId="2" priority="27" operator="equal">
      <formula>"EC VALID"</formula>
    </cfRule>
    <cfRule type="cellIs" dxfId="1" priority="28" operator="equal">
      <formula>"EC INVALID"</formula>
    </cfRule>
  </conditionalFormatting>
  <conditionalFormatting sqref="O18:O23">
    <cfRule type="cellIs" dxfId="0" priority="60" operator="equal">
      <formula>"Check amplification curve"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" operator="lessThanOrEqual" id="{82F4B322-4881-43C7-98EF-C5EC41F6E4C8}">
            <xm:f>'VITA Index summary'!$O$8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7" operator="greaterThan" id="{D960D7C2-9C52-4EEE-90B1-33547605CA84}">
            <xm:f>'VITA Index summary'!$O$8</xm:f>
            <x14:dxf>
              <font>
                <color rgb="FF0000FF"/>
              </font>
            </x14:dxf>
          </x14:cfRule>
          <xm:sqref>K26:K121</xm:sqref>
        </x14:conditionalFormatting>
        <x14:conditionalFormatting xmlns:xm="http://schemas.microsoft.com/office/excel/2006/main">
          <x14:cfRule type="cellIs" priority="22" operator="greaterThan" id="{5F91EB2A-89F8-4FCA-BF51-C8F884A0D284}">
            <xm:f>'VITA Index summary'!$O$7</xm:f>
            <x14:dxf>
              <font>
                <color rgb="FF0000FF"/>
              </font>
            </x14:dxf>
          </x14:cfRule>
          <x14:cfRule type="cellIs" priority="21" operator="lessThanOrEqual" id="{5EFE16D3-DBE6-44E8-B330-87C3AE131437}">
            <xm:f>'VITA Index summary'!$O$7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M26:M121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76DF-09DF-4407-9082-0BBDF9FFC636}">
  <dimension ref="A1"/>
  <sheetViews>
    <sheetView zoomScale="63" workbookViewId="0">
      <selection activeCell="AK26" sqref="AK2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7E05-75E9-4540-A58D-704ABFC8A41D}">
  <dimension ref="A1:D8"/>
  <sheetViews>
    <sheetView workbookViewId="0">
      <selection activeCell="A19" sqref="A19"/>
    </sheetView>
  </sheetViews>
  <sheetFormatPr defaultRowHeight="15" x14ac:dyDescent="0.25"/>
  <cols>
    <col min="1" max="1" width="103" customWidth="1"/>
    <col min="2" max="2" width="11.7109375" customWidth="1"/>
    <col min="3" max="3" width="16.140625" customWidth="1"/>
    <col min="4" max="4" width="27" customWidth="1"/>
  </cols>
  <sheetData>
    <row r="1" spans="1:4" x14ac:dyDescent="0.25">
      <c r="A1" t="s">
        <v>127</v>
      </c>
      <c r="B1" t="s">
        <v>128</v>
      </c>
      <c r="C1" t="s">
        <v>129</v>
      </c>
      <c r="D1" t="s">
        <v>130</v>
      </c>
    </row>
    <row r="2" spans="1:4" x14ac:dyDescent="0.25">
      <c r="A2" t="s">
        <v>131</v>
      </c>
      <c r="B2" t="s">
        <v>132</v>
      </c>
      <c r="C2" t="s">
        <v>133</v>
      </c>
      <c r="D2" t="s">
        <v>134</v>
      </c>
    </row>
    <row r="3" spans="1:4" x14ac:dyDescent="0.25">
      <c r="A3" t="s">
        <v>135</v>
      </c>
      <c r="B3" t="s">
        <v>132</v>
      </c>
      <c r="C3" t="s">
        <v>136</v>
      </c>
      <c r="D3" t="s">
        <v>137</v>
      </c>
    </row>
    <row r="4" spans="1:4" x14ac:dyDescent="0.25">
      <c r="A4" t="s">
        <v>150</v>
      </c>
      <c r="B4" t="s">
        <v>149</v>
      </c>
      <c r="C4" t="s">
        <v>136</v>
      </c>
      <c r="D4" t="s">
        <v>136</v>
      </c>
    </row>
    <row r="5" spans="1:4" x14ac:dyDescent="0.25">
      <c r="A5" t="s">
        <v>151</v>
      </c>
      <c r="B5" t="s">
        <v>132</v>
      </c>
      <c r="C5" t="s">
        <v>152</v>
      </c>
      <c r="D5" t="s">
        <v>153</v>
      </c>
    </row>
    <row r="6" spans="1:4" x14ac:dyDescent="0.25">
      <c r="A6" t="s">
        <v>154</v>
      </c>
      <c r="B6" t="s">
        <v>132</v>
      </c>
      <c r="C6" t="s">
        <v>155</v>
      </c>
      <c r="D6" t="s">
        <v>156</v>
      </c>
    </row>
    <row r="7" spans="1:4" x14ac:dyDescent="0.25">
      <c r="A7" t="s">
        <v>157</v>
      </c>
      <c r="B7" t="s">
        <v>132</v>
      </c>
      <c r="C7" t="s">
        <v>158</v>
      </c>
      <c r="D7" t="s">
        <v>158</v>
      </c>
    </row>
    <row r="8" spans="1:4" x14ac:dyDescent="0.25">
      <c r="A8" t="s">
        <v>208</v>
      </c>
      <c r="B8" t="s">
        <v>132</v>
      </c>
      <c r="C8" t="s">
        <v>209</v>
      </c>
      <c r="D8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 for Use</vt:lpstr>
      <vt:lpstr>Data Input</vt:lpstr>
      <vt:lpstr>Cq and Delta Cq</vt:lpstr>
      <vt:lpstr>VITA Index summary</vt:lpstr>
      <vt:lpstr>Results Summary</vt:lpstr>
      <vt:lpstr>Graphs</vt:lpstr>
      <vt:lpstr>Changes to be made</vt:lpstr>
    </vt:vector>
  </TitlesOfParts>
  <Company>SpeeDx Pty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ResistancePlus MG Analysis Software LC480 v1.1</dc:title>
  <dc:subject>Analysis Software</dc:subject>
  <dc:creator>Lit Yeen Tan</dc:creator>
  <cp:keywords>Cat# 99001</cp:keywords>
  <cp:lastModifiedBy>Tamika Blair</cp:lastModifiedBy>
  <dcterms:created xsi:type="dcterms:W3CDTF">2014-10-28T02:33:11Z</dcterms:created>
  <dcterms:modified xsi:type="dcterms:W3CDTF">2025-10-13T01:31:33Z</dcterms:modified>
  <cp:contentStatus>Current (Build v4.1.01)</cp:contentStatus>
</cp:coreProperties>
</file>